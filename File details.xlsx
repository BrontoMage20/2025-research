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conversion file details" sheetId="1" r:id="rId5"/>
    <sheet state="visible" name="Post-conversion file details" sheetId="2" r:id="rId6"/>
  </sheets>
  <definedNames/>
  <calcPr/>
</workbook>
</file>

<file path=xl/sharedStrings.xml><?xml version="1.0" encoding="utf-8"?>
<sst xmlns="http://schemas.openxmlformats.org/spreadsheetml/2006/main" count="233" uniqueCount="100">
  <si>
    <t>Upper outlier boundary</t>
  </si>
  <si>
    <t>Lower Outlier Boundary</t>
  </si>
  <si>
    <t>DPI outlier</t>
  </si>
  <si>
    <t>(in KB)</t>
  </si>
  <si>
    <t>image dimensions (in pixels)</t>
  </si>
  <si>
    <t>DPI (the "resolution") (in dots per inch)</t>
  </si>
  <si>
    <t>image number (of 50)</t>
  </si>
  <si>
    <t>correct spelling?</t>
  </si>
  <si>
    <t>file name</t>
  </si>
  <si>
    <t>file size</t>
  </si>
  <si>
    <t>width</t>
  </si>
  <si>
    <t>height</t>
  </si>
  <si>
    <t>x</t>
  </si>
  <si>
    <t>y</t>
  </si>
  <si>
    <t>data complete?</t>
  </si>
  <si>
    <r>
      <rPr>
        <rFont val="Times New Roman"/>
        <b/>
        <color theme="1"/>
        <sz val="12.0"/>
      </rPr>
      <t>unrounded</t>
    </r>
    <r>
      <rPr>
        <rFont val="Times New Roman"/>
        <color theme="1"/>
        <sz val="12.0"/>
      </rPr>
      <t xml:space="preserve"> DPI</t>
    </r>
  </si>
  <si>
    <t>Allobates_niputidea.jpg</t>
  </si>
  <si>
    <t>28.339999999999999858 x 28.339999999999999858</t>
  </si>
  <si>
    <t>Alouatta_seniculus.jpg</t>
  </si>
  <si>
    <t>70.859999999999999432 x 70.859999999999999432</t>
  </si>
  <si>
    <t>Andinobates_opisthomelas.jpg</t>
  </si>
  <si>
    <t>Ara_chloropterus.jpg</t>
  </si>
  <si>
    <t>118.10999999999999943 x 118.10999999999999943</t>
  </si>
  <si>
    <t>Baryphthengus_martii.jpg</t>
  </si>
  <si>
    <t>137.78999999999999204 x 137.78999999999999204</t>
  </si>
  <si>
    <t>Buteogallus_meridionalis.jpg</t>
  </si>
  <si>
    <t>37.789999999999999147 x 37.789999999999999147</t>
  </si>
  <si>
    <t>Camptostoma_obsoletum.jpg</t>
  </si>
  <si>
    <t>Cathartes_aura.jpg</t>
  </si>
  <si>
    <t>Ceratopipra_erythrocephala.jpg</t>
  </si>
  <si>
    <t>Chauna_chavaria.jpg</t>
  </si>
  <si>
    <t>Chloroceryle_amazona.jpg</t>
  </si>
  <si>
    <t>Cochlearius_cochlearius.jpg</t>
  </si>
  <si>
    <t>Crypturellus_soui.jpeg</t>
  </si>
  <si>
    <t>Dendrobates_truncatus.jpg</t>
  </si>
  <si>
    <t>Dendrocincla_fuliginosa.jpg</t>
  </si>
  <si>
    <t>Dendrocygna_autumnalis.jpg</t>
  </si>
  <si>
    <t>Dendropsophus_bogerti.jpg</t>
  </si>
  <si>
    <t>Dryocopus_lineatus.jpg</t>
  </si>
  <si>
    <t>Elachistocleis_pearsei.jpg</t>
  </si>
  <si>
    <t>Elaenia_flavogaster.jpg</t>
  </si>
  <si>
    <t>Espadarana_prosoblepon.jpg</t>
  </si>
  <si>
    <t>59.049999999999997158 x 59.049999999999997158</t>
  </si>
  <si>
    <t>Eupsittula_pertinax.jpg</t>
  </si>
  <si>
    <t>Falco_sparverius.jpg</t>
  </si>
  <si>
    <t>Henicorhina_leucosticta.jpg</t>
  </si>
  <si>
    <t>Icterus_nigrogularis.jpg</t>
  </si>
  <si>
    <t>Least_Grebe.jpg</t>
  </si>
  <si>
    <t>Leptodactylus_fragilis.jpg</t>
  </si>
  <si>
    <t>Megarynchus_pitangua.jpg</t>
  </si>
  <si>
    <t>Megascops_choliba.jpg</t>
  </si>
  <si>
    <t>Milvago_chimachima.jpg</t>
  </si>
  <si>
    <t>94.480000000000003979 x 94.480000000000003979</t>
  </si>
  <si>
    <t>Mycteria_americana.jpg</t>
  </si>
  <si>
    <t>Myiodynastes_maculatus.jpg</t>
  </si>
  <si>
    <t>0.39000000000000001332 x 0.39000000000000001332</t>
  </si>
  <si>
    <t>Myiozetetes_cayanensis.jpg</t>
  </si>
  <si>
    <t>Nannopterum_brasilianum.jpg</t>
  </si>
  <si>
    <t>Neoconocephalus_brachypterus.jpg</t>
  </si>
  <si>
    <t>Oxyprora_surinamensis.jpg</t>
  </si>
  <si>
    <t>Picumnus_olivaceus.jpg</t>
  </si>
  <si>
    <t>Poliocrania_exsul.jpeg</t>
  </si>
  <si>
    <t>Pristimantis_bogotensis.jpg</t>
  </si>
  <si>
    <t>Ragoniella_pulchella.jpeg</t>
  </si>
  <si>
    <t>Rhinella_horribilis.jpg</t>
  </si>
  <si>
    <t>Saltator_maximus.jpg</t>
  </si>
  <si>
    <t>Scinax_ruber.jpg</t>
  </si>
  <si>
    <t>29.519999999999999574 x 29.519999999999999574</t>
  </si>
  <si>
    <t>Sporophila_funerea.jpg</t>
  </si>
  <si>
    <t>Sporophila_nigricollis.jpg</t>
  </si>
  <si>
    <t>Tangara_inornata.jpg</t>
  </si>
  <si>
    <t>Thraupis_episcopus.jpg</t>
  </si>
  <si>
    <t>Tolmomyias_sulphurescens.jpg</t>
  </si>
  <si>
    <t>Trachycephalus_typhonius.jpg</t>
  </si>
  <si>
    <t>Xiphorhynchus_susurrans.jpg</t>
  </si>
  <si>
    <t>SUMMARY STATISTICS</t>
  </si>
  <si>
    <t>DPI</t>
  </si>
  <si>
    <t>data range</t>
  </si>
  <si>
    <t>D5:D54</t>
  </si>
  <si>
    <t>F5:F54</t>
  </si>
  <si>
    <t>H5:H54</t>
  </si>
  <si>
    <t>quartile 1</t>
  </si>
  <si>
    <t>quartile 3</t>
  </si>
  <si>
    <t>iqr</t>
  </si>
  <si>
    <t>1.5 * iqr</t>
  </si>
  <si>
    <r>
      <rPr>
        <rFont val="Times New Roman"/>
        <color theme="1"/>
        <sz val="12.0"/>
      </rPr>
      <t xml:space="preserve">outlier </t>
    </r>
    <r>
      <rPr>
        <rFont val="Times New Roman"/>
        <b/>
        <color theme="1"/>
        <sz val="12.0"/>
      </rPr>
      <t>upper</t>
    </r>
    <r>
      <rPr>
        <rFont val="Times New Roman"/>
        <color theme="1"/>
        <sz val="12.0"/>
      </rPr>
      <t xml:space="preserve"> bound</t>
    </r>
  </si>
  <si>
    <r>
      <rPr>
        <rFont val="Times New Roman"/>
        <color theme="1"/>
        <sz val="12.0"/>
      </rPr>
      <t xml:space="preserve">outlier </t>
    </r>
    <r>
      <rPr>
        <rFont val="Times New Roman"/>
        <b/>
        <color theme="1"/>
        <sz val="12.0"/>
      </rPr>
      <t>lower</t>
    </r>
    <r>
      <rPr>
        <rFont val="Times New Roman"/>
        <color theme="1"/>
        <sz val="12.0"/>
      </rPr>
      <t xml:space="preserve"> bound</t>
    </r>
  </si>
  <si>
    <r>
      <rPr>
        <rFont val="Times New Roman"/>
        <color theme="1"/>
        <sz val="12.0"/>
      </rPr>
      <t xml:space="preserve">outlier </t>
    </r>
    <r>
      <rPr>
        <rFont val="Times New Roman"/>
        <b/>
        <color theme="1"/>
        <sz val="12.0"/>
      </rPr>
      <t>upper</t>
    </r>
    <r>
      <rPr>
        <rFont val="Times New Roman"/>
        <color theme="1"/>
        <sz val="12.0"/>
      </rPr>
      <t xml:space="preserve"> bound</t>
    </r>
  </si>
  <si>
    <r>
      <rPr>
        <rFont val="Times New Roman"/>
        <b/>
        <color theme="1"/>
        <sz val="12.0"/>
      </rPr>
      <t>lower</t>
    </r>
    <r>
      <rPr>
        <rFont val="Times New Roman"/>
        <color theme="1"/>
        <sz val="12.0"/>
      </rPr>
      <t xml:space="preserve"> outliers</t>
    </r>
  </si>
  <si>
    <t>none</t>
  </si>
  <si>
    <t>N/A</t>
  </si>
  <si>
    <r>
      <rPr>
        <rFont val="Times New Roman"/>
        <b/>
        <color theme="1"/>
        <sz val="12.0"/>
      </rPr>
      <t>upper</t>
    </r>
    <r>
      <rPr>
        <rFont val="Times New Roman"/>
        <color theme="1"/>
        <sz val="12.0"/>
      </rPr>
      <t xml:space="preserve"> outliers</t>
    </r>
  </si>
  <si>
    <r>
      <rPr>
        <rFont val="Times New Roman"/>
        <color theme="1"/>
        <sz val="12.0"/>
      </rPr>
      <t xml:space="preserve">outlier </t>
    </r>
    <r>
      <rPr>
        <rFont val="Times New Roman"/>
        <b/>
        <color theme="1"/>
        <sz val="12.0"/>
      </rPr>
      <t>lower</t>
    </r>
    <r>
      <rPr>
        <rFont val="Times New Roman"/>
        <color theme="1"/>
        <sz val="12.0"/>
      </rPr>
      <t xml:space="preserve"> bound</t>
    </r>
  </si>
  <si>
    <r>
      <rPr>
        <rFont val="Times New Roman"/>
        <b/>
        <color theme="1"/>
        <sz val="12.0"/>
      </rPr>
      <t>DPI</t>
    </r>
    <r>
      <rPr>
        <rFont val="Times New Roman"/>
        <color theme="1"/>
        <sz val="12.0"/>
      </rPr>
      <t xml:space="preserve"> outliers</t>
    </r>
  </si>
  <si>
    <t>Images 2, 4, 5, 6, 19, 28, 29, 30, 32, 33, 38, 43</t>
  </si>
  <si>
    <r>
      <rPr>
        <rFont val="Times New Roman"/>
        <b/>
        <color theme="1"/>
        <sz val="12.0"/>
      </rPr>
      <t>lower</t>
    </r>
    <r>
      <rPr>
        <rFont val="Times New Roman"/>
        <color theme="1"/>
        <sz val="12.0"/>
      </rPr>
      <t xml:space="preserve"> outliers</t>
    </r>
  </si>
  <si>
    <r>
      <rPr>
        <rFont val="Times New Roman"/>
        <b/>
        <color theme="1"/>
        <sz val="12.0"/>
      </rPr>
      <t>upper</t>
    </r>
    <r>
      <rPr>
        <rFont val="Times New Roman"/>
        <color theme="1"/>
        <sz val="12.0"/>
      </rPr>
      <t xml:space="preserve"> outliers</t>
    </r>
  </si>
  <si>
    <t>Images 2, 14, 18, 29, 32</t>
  </si>
  <si>
    <r>
      <rPr>
        <rFont val="Times New Roman"/>
        <b/>
        <color theme="1"/>
        <sz val="12.0"/>
      </rPr>
      <t>DPI</t>
    </r>
    <r>
      <rPr>
        <rFont val="Times New Roman"/>
        <color theme="1"/>
        <sz val="12.0"/>
      </rPr>
      <t xml:space="preserve"> outliers</t>
    </r>
  </si>
  <si>
    <t>Images 2, 4, 5, 6, 19, 28, 29, 32, 33, 38, 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</si>
</sst>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0.000"/>
    <numFmt numFmtId="166" formatCode="m, d, yy"/>
  </numFmts>
  <fonts count="7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Arial"/>
      <scheme val="minor"/>
    </font>
    <font/>
    <font>
      <sz val="10.0"/>
      <color rgb="FF000000"/>
      <name val="Arial"/>
    </font>
    <font>
      <sz val="10.0"/>
      <color theme="1"/>
      <name val="Arial"/>
      <scheme val="minor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9">
    <border/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3" fontId="1" numFmtId="0" xfId="0" applyFill="1" applyFont="1"/>
    <xf borderId="0" fillId="4" fontId="2" numFmtId="0" xfId="0" applyFill="1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readingOrder="0"/>
    </xf>
    <xf borderId="1" fillId="0" fontId="3" numFmtId="0" xfId="0" applyBorder="1" applyFont="1"/>
    <xf borderId="0" fillId="0" fontId="1" numFmtId="0" xfId="0" applyAlignment="1" applyFont="1">
      <alignment readingOrder="0" shrinkToFit="0" wrapText="0"/>
    </xf>
    <xf borderId="0" fillId="4" fontId="1" numFmtId="0" xfId="0" applyFont="1"/>
    <xf borderId="1" fillId="0" fontId="1" numFmtId="0" xfId="0" applyAlignment="1" applyBorder="1" applyFont="1">
      <alignment readingOrder="0" shrinkToFit="0" wrapText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2" fillId="0" fontId="1" numFmtId="165" xfId="0" applyAlignment="1" applyBorder="1" applyFont="1" applyNumberFormat="1">
      <alignment readingOrder="0"/>
    </xf>
    <xf borderId="0" fillId="0" fontId="5" numFmtId="0" xfId="0" applyFont="1"/>
    <xf borderId="2" fillId="0" fontId="1" numFmtId="164" xfId="0" applyAlignment="1" applyBorder="1" applyFont="1" applyNumberForma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2" fillId="2" fontId="1" numFmtId="165" xfId="0" applyAlignment="1" applyBorder="1" applyFont="1" applyNumberFormat="1">
      <alignment readingOrder="0"/>
    </xf>
    <xf borderId="0" fillId="4" fontId="1" numFmtId="0" xfId="0" applyAlignment="1" applyFont="1">
      <alignment readingOrder="0"/>
    </xf>
    <xf borderId="0" fillId="0" fontId="2" numFmtId="0" xfId="0" applyFont="1"/>
    <xf borderId="0" fillId="0" fontId="2" numFmtId="166" xfId="0" applyFont="1" applyNumberForma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13"/>
    <col customWidth="1" min="2" max="2" width="5.5"/>
    <col customWidth="1" min="3" max="3" width="29.13"/>
  </cols>
  <sheetData>
    <row r="1">
      <c r="A1" s="1"/>
      <c r="B1" s="2"/>
      <c r="C1" s="3" t="s">
        <v>0</v>
      </c>
      <c r="D1" s="1">
        <v>583.94225</v>
      </c>
      <c r="E1" s="1"/>
      <c r="F1" s="1">
        <v>1120.5</v>
      </c>
      <c r="G1" s="1"/>
      <c r="H1" s="3">
        <v>72.0</v>
      </c>
      <c r="I1" s="1"/>
      <c r="J1" s="1"/>
      <c r="K1" s="1"/>
      <c r="L1" s="1"/>
      <c r="M1" s="1"/>
      <c r="N1" s="1"/>
      <c r="O1" s="1"/>
    </row>
    <row r="2">
      <c r="A2" s="1"/>
      <c r="B2" s="6"/>
      <c r="C2" s="3" t="s">
        <v>1</v>
      </c>
      <c r="D2" s="1">
        <v>-90.20774999999995</v>
      </c>
      <c r="E2" s="1"/>
      <c r="F2" s="1">
        <v>692.5</v>
      </c>
      <c r="G2" s="1"/>
      <c r="H2" s="3">
        <v>72.0</v>
      </c>
      <c r="I2" s="1"/>
      <c r="J2" s="3" t="s">
        <v>2</v>
      </c>
      <c r="K2" s="13"/>
      <c r="L2" s="1"/>
      <c r="M2" s="1"/>
      <c r="N2" s="1"/>
      <c r="O2" s="1"/>
    </row>
    <row r="3">
      <c r="A3" s="1"/>
      <c r="B3" s="8"/>
      <c r="C3" s="9"/>
      <c r="D3" s="10" t="s">
        <v>3</v>
      </c>
      <c r="E3" s="10" t="s">
        <v>4</v>
      </c>
      <c r="F3" s="11"/>
      <c r="G3" s="12" t="s">
        <v>5</v>
      </c>
      <c r="H3" s="12"/>
      <c r="I3" s="1"/>
      <c r="J3" s="1"/>
      <c r="K3" s="1"/>
      <c r="L3" s="1"/>
      <c r="M3" s="1"/>
      <c r="N3" s="1"/>
      <c r="O3" s="1"/>
    </row>
    <row r="4">
      <c r="A4" s="3" t="s">
        <v>6</v>
      </c>
      <c r="B4" s="15" t="s">
        <v>7</v>
      </c>
      <c r="C4" s="16" t="s">
        <v>8</v>
      </c>
      <c r="D4" s="16" t="s">
        <v>9</v>
      </c>
      <c r="E4" s="17" t="s">
        <v>10</v>
      </c>
      <c r="F4" s="15" t="s">
        <v>11</v>
      </c>
      <c r="G4" s="17" t="s">
        <v>12</v>
      </c>
      <c r="H4" s="15" t="s">
        <v>13</v>
      </c>
      <c r="I4" s="3" t="s">
        <v>14</v>
      </c>
      <c r="J4" s="1"/>
      <c r="K4" s="1"/>
      <c r="L4" s="1"/>
      <c r="M4" s="1"/>
      <c r="N4" s="1"/>
      <c r="O4" s="1"/>
    </row>
    <row r="5">
      <c r="A5" s="3">
        <v>1.0</v>
      </c>
      <c r="B5" s="18" t="b">
        <v>1</v>
      </c>
      <c r="C5" s="19" t="s">
        <v>16</v>
      </c>
      <c r="D5" s="21">
        <v>388.679</v>
      </c>
      <c r="E5" s="3">
        <v>1280.0</v>
      </c>
      <c r="F5" s="18">
        <v>960.0</v>
      </c>
      <c r="G5" s="3">
        <v>72.0</v>
      </c>
      <c r="H5" s="3">
        <v>72.0</v>
      </c>
      <c r="I5" s="24" t="b">
        <v>1</v>
      </c>
      <c r="J5" s="1"/>
      <c r="K5" s="1"/>
      <c r="L5" s="1"/>
      <c r="M5" s="1"/>
      <c r="N5" s="1"/>
      <c r="O5" s="1"/>
    </row>
    <row r="6">
      <c r="A6" s="3">
        <v>2.0</v>
      </c>
      <c r="B6" s="18" t="b">
        <v>1</v>
      </c>
      <c r="C6" s="19" t="s">
        <v>18</v>
      </c>
      <c r="D6" s="26">
        <v>1057.946</v>
      </c>
      <c r="E6" s="3">
        <v>1280.0</v>
      </c>
      <c r="F6" s="18">
        <v>960.0</v>
      </c>
      <c r="G6" s="27">
        <v>180.0</v>
      </c>
      <c r="H6" s="27">
        <v>180.0</v>
      </c>
      <c r="I6" s="10" t="b">
        <v>1</v>
      </c>
      <c r="J6" s="1"/>
      <c r="K6" s="1"/>
      <c r="L6" s="1"/>
      <c r="M6" s="1"/>
      <c r="N6" s="1"/>
      <c r="O6" s="1"/>
    </row>
    <row r="7">
      <c r="A7" s="3">
        <v>3.0</v>
      </c>
      <c r="B7" s="18" t="b">
        <v>1</v>
      </c>
      <c r="C7" s="19" t="s">
        <v>20</v>
      </c>
      <c r="D7" s="21">
        <v>295.498</v>
      </c>
      <c r="E7" s="3">
        <v>1280.0</v>
      </c>
      <c r="F7" s="18">
        <v>853.0</v>
      </c>
      <c r="G7" s="3">
        <v>72.0</v>
      </c>
      <c r="H7" s="3">
        <v>72.0</v>
      </c>
      <c r="I7" s="10" t="b">
        <v>1</v>
      </c>
      <c r="J7" s="1"/>
      <c r="K7" s="1"/>
      <c r="L7" s="1"/>
      <c r="M7" s="1"/>
      <c r="N7" s="1"/>
      <c r="O7" s="1"/>
    </row>
    <row r="8">
      <c r="A8" s="3">
        <v>4.0</v>
      </c>
      <c r="B8" s="18" t="b">
        <v>1</v>
      </c>
      <c r="C8" s="19" t="s">
        <v>21</v>
      </c>
      <c r="D8" s="21">
        <v>83.567</v>
      </c>
      <c r="E8" s="3">
        <v>1280.0</v>
      </c>
      <c r="F8" s="18">
        <v>853.0</v>
      </c>
      <c r="G8" s="27">
        <v>300.0</v>
      </c>
      <c r="H8" s="27">
        <v>300.0</v>
      </c>
      <c r="I8" s="10" t="b">
        <v>1</v>
      </c>
      <c r="J8" s="1"/>
      <c r="K8" s="1"/>
      <c r="L8" s="1"/>
      <c r="M8" s="1"/>
      <c r="N8" s="1"/>
      <c r="O8" s="1"/>
    </row>
    <row r="9">
      <c r="A9" s="3">
        <v>5.0</v>
      </c>
      <c r="B9" s="18" t="b">
        <v>1</v>
      </c>
      <c r="C9" s="19" t="s">
        <v>23</v>
      </c>
      <c r="D9" s="21">
        <v>122.354</v>
      </c>
      <c r="E9" s="3">
        <v>1280.0</v>
      </c>
      <c r="F9" s="18">
        <v>853.0</v>
      </c>
      <c r="G9" s="27">
        <v>350.0</v>
      </c>
      <c r="H9" s="27">
        <v>350.0</v>
      </c>
      <c r="I9" s="10" t="b">
        <v>1</v>
      </c>
      <c r="J9" s="1"/>
      <c r="K9" s="1"/>
      <c r="L9" s="1"/>
      <c r="M9" s="1"/>
      <c r="N9" s="1"/>
      <c r="O9" s="1"/>
    </row>
    <row r="10">
      <c r="A10" s="3">
        <v>6.0</v>
      </c>
      <c r="B10" s="18" t="b">
        <v>1</v>
      </c>
      <c r="C10" s="19" t="s">
        <v>25</v>
      </c>
      <c r="D10" s="21">
        <v>157.589</v>
      </c>
      <c r="E10" s="3">
        <v>1280.0</v>
      </c>
      <c r="F10" s="18">
        <v>1056.0</v>
      </c>
      <c r="G10" s="27">
        <v>96.0</v>
      </c>
      <c r="H10" s="27">
        <v>96.0</v>
      </c>
      <c r="I10" s="10" t="b">
        <v>1</v>
      </c>
      <c r="J10" s="1"/>
      <c r="K10" s="1"/>
      <c r="L10" s="1"/>
      <c r="M10" s="1"/>
      <c r="N10" s="1"/>
      <c r="O10" s="1"/>
    </row>
    <row r="11">
      <c r="A11" s="3">
        <v>7.0</v>
      </c>
      <c r="B11" s="18" t="b">
        <v>1</v>
      </c>
      <c r="C11" s="19" t="s">
        <v>27</v>
      </c>
      <c r="D11" s="21">
        <v>184.801</v>
      </c>
      <c r="E11" s="3">
        <v>1280.0</v>
      </c>
      <c r="F11" s="18">
        <v>852.0</v>
      </c>
      <c r="G11" s="3">
        <v>72.0</v>
      </c>
      <c r="H11" s="3">
        <v>72.0</v>
      </c>
      <c r="I11" s="10" t="b">
        <v>1</v>
      </c>
      <c r="J11" s="1"/>
    </row>
    <row r="12">
      <c r="A12" s="3">
        <v>8.0</v>
      </c>
      <c r="B12" s="18" t="b">
        <v>1</v>
      </c>
      <c r="C12" s="19" t="s">
        <v>28</v>
      </c>
      <c r="D12" s="21">
        <v>132.398</v>
      </c>
      <c r="E12" s="3">
        <v>1280.0</v>
      </c>
      <c r="F12" s="18">
        <v>854.0</v>
      </c>
      <c r="G12" s="3">
        <v>72.0</v>
      </c>
      <c r="H12" s="3">
        <v>72.0</v>
      </c>
      <c r="I12" s="10" t="b">
        <v>1</v>
      </c>
      <c r="J12" s="1"/>
    </row>
    <row r="13">
      <c r="A13" s="3">
        <v>9.0</v>
      </c>
      <c r="B13" s="18" t="b">
        <v>1</v>
      </c>
      <c r="C13" s="19" t="s">
        <v>29</v>
      </c>
      <c r="D13" s="21">
        <v>227.217</v>
      </c>
      <c r="E13" s="3">
        <v>1280.0</v>
      </c>
      <c r="F13" s="18">
        <v>851.0</v>
      </c>
      <c r="G13" s="3">
        <v>72.0</v>
      </c>
      <c r="H13" s="3">
        <v>72.0</v>
      </c>
      <c r="I13" s="10" t="b">
        <v>1</v>
      </c>
      <c r="J13" s="1"/>
      <c r="K13" s="28"/>
    </row>
    <row r="14">
      <c r="A14" s="3">
        <v>10.0</v>
      </c>
      <c r="B14" s="18" t="b">
        <v>1</v>
      </c>
      <c r="C14" s="19" t="s">
        <v>30</v>
      </c>
      <c r="D14" s="21">
        <v>239.624</v>
      </c>
      <c r="E14" s="3">
        <v>1280.0</v>
      </c>
      <c r="F14" s="18">
        <v>853.0</v>
      </c>
      <c r="G14" s="3">
        <v>72.0</v>
      </c>
      <c r="H14" s="3">
        <v>72.0</v>
      </c>
      <c r="I14" s="10" t="b">
        <v>1</v>
      </c>
      <c r="J14" s="1"/>
      <c r="N14" s="28"/>
    </row>
    <row r="15">
      <c r="A15" s="3">
        <v>11.0</v>
      </c>
      <c r="B15" s="18" t="b">
        <v>1</v>
      </c>
      <c r="C15" s="19" t="s">
        <v>31</v>
      </c>
      <c r="D15" s="21">
        <v>104.545</v>
      </c>
      <c r="E15" s="3">
        <v>1280.0</v>
      </c>
      <c r="F15" s="18">
        <v>853.0</v>
      </c>
      <c r="G15" s="3">
        <v>72.0</v>
      </c>
      <c r="H15" s="3">
        <v>72.0</v>
      </c>
      <c r="I15" s="10" t="b">
        <v>1</v>
      </c>
      <c r="J15" s="1"/>
      <c r="N15" s="28"/>
      <c r="O15" s="28"/>
    </row>
    <row r="16">
      <c r="A16" s="3">
        <v>12.0</v>
      </c>
      <c r="B16" s="18" t="b">
        <v>1</v>
      </c>
      <c r="C16" s="19" t="s">
        <v>32</v>
      </c>
      <c r="D16" s="21">
        <v>152.192</v>
      </c>
      <c r="E16" s="3">
        <v>1280.0</v>
      </c>
      <c r="F16" s="18">
        <v>800.0</v>
      </c>
      <c r="G16" s="3">
        <v>72.0</v>
      </c>
      <c r="H16" s="3">
        <v>72.0</v>
      </c>
      <c r="I16" s="10" t="b">
        <v>1</v>
      </c>
      <c r="J16" s="1"/>
      <c r="K16" s="28"/>
      <c r="L16" s="28"/>
      <c r="M16" s="28"/>
    </row>
    <row r="17">
      <c r="A17" s="3">
        <v>13.0</v>
      </c>
      <c r="B17" s="18" t="b">
        <v>1</v>
      </c>
      <c r="C17" s="19" t="s">
        <v>33</v>
      </c>
      <c r="D17" s="21">
        <v>308.489</v>
      </c>
      <c r="E17" s="3">
        <v>1280.0</v>
      </c>
      <c r="F17" s="18">
        <v>960.0</v>
      </c>
      <c r="G17" s="3">
        <v>72.0</v>
      </c>
      <c r="H17" s="3">
        <v>72.0</v>
      </c>
      <c r="I17" s="10" t="b">
        <v>1</v>
      </c>
      <c r="J17" s="1"/>
      <c r="M17" s="28"/>
    </row>
    <row r="18">
      <c r="A18" s="3">
        <v>14.0</v>
      </c>
      <c r="B18" s="18" t="b">
        <v>1</v>
      </c>
      <c r="C18" s="19" t="s">
        <v>34</v>
      </c>
      <c r="D18" s="26">
        <v>601.703</v>
      </c>
      <c r="E18" s="3">
        <v>1280.0</v>
      </c>
      <c r="F18" s="18">
        <v>960.0</v>
      </c>
      <c r="G18" s="3">
        <v>72.0</v>
      </c>
      <c r="H18" s="3">
        <v>72.0</v>
      </c>
      <c r="I18" s="10" t="b">
        <v>1</v>
      </c>
      <c r="J18" s="1"/>
      <c r="L18" s="28"/>
      <c r="M18" s="28"/>
      <c r="N18" s="29"/>
    </row>
    <row r="19">
      <c r="A19" s="3">
        <v>15.0</v>
      </c>
      <c r="B19" s="18" t="b">
        <v>1</v>
      </c>
      <c r="C19" s="19" t="s">
        <v>35</v>
      </c>
      <c r="D19" s="21">
        <v>180.858</v>
      </c>
      <c r="E19" s="3">
        <v>1280.0</v>
      </c>
      <c r="F19" s="18">
        <v>857.0</v>
      </c>
      <c r="G19" s="3">
        <v>72.0</v>
      </c>
      <c r="H19" s="3">
        <v>72.0</v>
      </c>
      <c r="I19" s="10" t="b">
        <v>1</v>
      </c>
      <c r="J19" s="1"/>
      <c r="M19" s="28"/>
    </row>
    <row r="20">
      <c r="A20" s="3">
        <v>16.0</v>
      </c>
      <c r="B20" s="18" t="b">
        <v>1</v>
      </c>
      <c r="C20" s="19" t="s">
        <v>36</v>
      </c>
      <c r="D20" s="21">
        <v>117.503</v>
      </c>
      <c r="E20" s="3">
        <v>1280.0</v>
      </c>
      <c r="F20" s="18">
        <v>960.0</v>
      </c>
      <c r="G20" s="3">
        <v>72.0</v>
      </c>
      <c r="H20" s="3">
        <v>72.0</v>
      </c>
      <c r="I20" s="10" t="b">
        <v>1</v>
      </c>
      <c r="J20" s="1"/>
      <c r="L20" s="28"/>
      <c r="M20" s="28"/>
    </row>
    <row r="21">
      <c r="A21" s="3">
        <v>17.0</v>
      </c>
      <c r="B21" s="18" t="b">
        <v>1</v>
      </c>
      <c r="C21" s="19" t="s">
        <v>37</v>
      </c>
      <c r="D21" s="21">
        <v>236.656</v>
      </c>
      <c r="E21" s="3">
        <v>1280.0</v>
      </c>
      <c r="F21" s="18">
        <v>960.0</v>
      </c>
      <c r="G21" s="3">
        <v>72.0</v>
      </c>
      <c r="H21" s="3">
        <v>72.0</v>
      </c>
      <c r="I21" s="10" t="b">
        <v>1</v>
      </c>
      <c r="J21" s="1"/>
      <c r="M21" s="28"/>
    </row>
    <row r="22">
      <c r="A22" s="3">
        <v>18.0</v>
      </c>
      <c r="B22" s="18" t="b">
        <v>1</v>
      </c>
      <c r="C22" s="19" t="s">
        <v>38</v>
      </c>
      <c r="D22" s="26">
        <v>606.706</v>
      </c>
      <c r="E22" s="3">
        <v>1280.0</v>
      </c>
      <c r="F22" s="18">
        <v>960.0</v>
      </c>
      <c r="G22" s="3">
        <v>72.0</v>
      </c>
      <c r="H22" s="3">
        <v>72.0</v>
      </c>
      <c r="I22" s="10" t="b">
        <v>1</v>
      </c>
      <c r="J22" s="1"/>
      <c r="K22" s="28"/>
      <c r="L22" s="28"/>
      <c r="M22" s="28"/>
    </row>
    <row r="23">
      <c r="A23" s="3">
        <v>19.0</v>
      </c>
      <c r="B23" s="18" t="b">
        <v>1</v>
      </c>
      <c r="C23" s="19" t="s">
        <v>39</v>
      </c>
      <c r="D23" s="21">
        <v>240.751</v>
      </c>
      <c r="E23" s="3">
        <v>1280.0</v>
      </c>
      <c r="F23" s="18">
        <v>960.0</v>
      </c>
      <c r="G23" s="27">
        <v>150.0</v>
      </c>
      <c r="H23" s="27">
        <v>150.0</v>
      </c>
      <c r="I23" s="10" t="b">
        <v>1</v>
      </c>
      <c r="J23" s="1"/>
      <c r="M23" s="28"/>
    </row>
    <row r="24">
      <c r="A24" s="3">
        <v>20.0</v>
      </c>
      <c r="B24" s="18" t="b">
        <v>1</v>
      </c>
      <c r="C24" s="19" t="s">
        <v>40</v>
      </c>
      <c r="D24" s="21">
        <v>148.208</v>
      </c>
      <c r="E24" s="3">
        <v>1280.0</v>
      </c>
      <c r="F24" s="18">
        <v>854.0</v>
      </c>
      <c r="G24" s="3">
        <v>72.0</v>
      </c>
      <c r="H24" s="3">
        <v>72.0</v>
      </c>
      <c r="I24" s="10" t="b">
        <v>1</v>
      </c>
      <c r="J24" s="1"/>
      <c r="L24" s="28"/>
      <c r="M24" s="28"/>
    </row>
    <row r="25">
      <c r="A25" s="3">
        <v>21.0</v>
      </c>
      <c r="B25" s="18" t="b">
        <v>1</v>
      </c>
      <c r="C25" s="19" t="s">
        <v>41</v>
      </c>
      <c r="D25" s="21">
        <v>189.634</v>
      </c>
      <c r="E25" s="3">
        <v>1280.0</v>
      </c>
      <c r="F25" s="18">
        <v>854.0</v>
      </c>
      <c r="G25" s="3">
        <v>72.0</v>
      </c>
      <c r="H25" s="3">
        <v>72.0</v>
      </c>
      <c r="I25" s="10" t="b">
        <v>1</v>
      </c>
      <c r="J25" s="1"/>
      <c r="M25" s="28"/>
    </row>
    <row r="26">
      <c r="A26" s="3">
        <v>22.0</v>
      </c>
      <c r="B26" s="18" t="b">
        <v>1</v>
      </c>
      <c r="C26" s="19" t="s">
        <v>43</v>
      </c>
      <c r="D26" s="21">
        <v>123.993</v>
      </c>
      <c r="E26" s="3">
        <v>1280.0</v>
      </c>
      <c r="F26" s="18">
        <v>853.0</v>
      </c>
      <c r="G26" s="3">
        <v>72.0</v>
      </c>
      <c r="H26" s="3">
        <v>72.0</v>
      </c>
      <c r="I26" s="10" t="b">
        <v>1</v>
      </c>
      <c r="J26" s="1"/>
      <c r="L26" s="28"/>
      <c r="M26" s="28"/>
    </row>
    <row r="27">
      <c r="A27" s="3">
        <v>23.0</v>
      </c>
      <c r="B27" s="18" t="b">
        <v>1</v>
      </c>
      <c r="C27" s="19" t="s">
        <v>44</v>
      </c>
      <c r="D27" s="21">
        <v>92.642</v>
      </c>
      <c r="E27" s="3">
        <v>1280.0</v>
      </c>
      <c r="F27" s="18">
        <v>853.0</v>
      </c>
      <c r="G27" s="3">
        <v>72.0</v>
      </c>
      <c r="H27" s="3">
        <v>72.0</v>
      </c>
      <c r="I27" s="10" t="b">
        <v>1</v>
      </c>
      <c r="J27" s="1"/>
      <c r="M27" s="28"/>
    </row>
    <row r="28">
      <c r="A28" s="3">
        <v>24.0</v>
      </c>
      <c r="B28" s="18" t="b">
        <v>1</v>
      </c>
      <c r="C28" s="19" t="s">
        <v>45</v>
      </c>
      <c r="D28" s="21">
        <v>174.626</v>
      </c>
      <c r="E28" s="3">
        <v>1280.0</v>
      </c>
      <c r="F28" s="18">
        <v>960.0</v>
      </c>
      <c r="G28" s="3">
        <v>72.0</v>
      </c>
      <c r="H28" s="3">
        <v>72.0</v>
      </c>
      <c r="I28" s="10" t="b">
        <v>1</v>
      </c>
      <c r="J28" s="1"/>
      <c r="K28" s="28"/>
      <c r="L28" s="28"/>
      <c r="M28" s="28"/>
    </row>
    <row r="29">
      <c r="A29" s="3">
        <v>25.0</v>
      </c>
      <c r="B29" s="18" t="b">
        <v>1</v>
      </c>
      <c r="C29" s="19" t="s">
        <v>46</v>
      </c>
      <c r="D29" s="21">
        <v>423.674</v>
      </c>
      <c r="E29" s="3">
        <v>1280.0</v>
      </c>
      <c r="F29" s="18">
        <v>1026.0</v>
      </c>
      <c r="G29" s="3">
        <v>72.0</v>
      </c>
      <c r="H29" s="3">
        <v>72.0</v>
      </c>
      <c r="I29" s="10" t="b">
        <v>1</v>
      </c>
      <c r="J29" s="1"/>
      <c r="M29" s="28"/>
    </row>
    <row r="30">
      <c r="A30" s="3">
        <v>26.0</v>
      </c>
      <c r="B30" s="18" t="b">
        <v>1</v>
      </c>
      <c r="C30" s="19" t="s">
        <v>47</v>
      </c>
      <c r="D30" s="21">
        <v>171.249</v>
      </c>
      <c r="E30" s="3">
        <v>1280.0</v>
      </c>
      <c r="F30" s="18">
        <v>853.0</v>
      </c>
      <c r="G30" s="3">
        <v>72.0</v>
      </c>
      <c r="H30" s="3">
        <v>72.0</v>
      </c>
      <c r="I30" s="10" t="b">
        <v>1</v>
      </c>
      <c r="J30" s="1"/>
      <c r="L30" s="28"/>
      <c r="M30" s="28"/>
    </row>
    <row r="31">
      <c r="A31" s="3">
        <v>27.0</v>
      </c>
      <c r="B31" s="18" t="b">
        <v>1</v>
      </c>
      <c r="C31" s="19" t="s">
        <v>48</v>
      </c>
      <c r="D31" s="21">
        <v>250.548</v>
      </c>
      <c r="E31" s="3">
        <v>1280.0</v>
      </c>
      <c r="F31" s="18">
        <v>918.0</v>
      </c>
      <c r="G31" s="3">
        <v>72.0</v>
      </c>
      <c r="H31" s="3">
        <v>72.0</v>
      </c>
      <c r="I31" s="10" t="b">
        <v>1</v>
      </c>
      <c r="J31" s="1"/>
      <c r="M31" s="28"/>
    </row>
    <row r="32">
      <c r="A32" s="3">
        <v>28.0</v>
      </c>
      <c r="B32" s="18" t="b">
        <v>1</v>
      </c>
      <c r="C32" s="19" t="s">
        <v>49</v>
      </c>
      <c r="D32" s="21">
        <v>216.874</v>
      </c>
      <c r="E32" s="3">
        <v>1280.0</v>
      </c>
      <c r="F32" s="18">
        <v>972.0</v>
      </c>
      <c r="G32" s="27">
        <v>240.0</v>
      </c>
      <c r="H32" s="27">
        <v>240.0</v>
      </c>
      <c r="I32" s="10" t="b">
        <v>1</v>
      </c>
      <c r="J32" s="1"/>
      <c r="L32" s="28"/>
      <c r="M32" s="28"/>
    </row>
    <row r="33">
      <c r="A33" s="3">
        <v>29.0</v>
      </c>
      <c r="B33" s="18" t="b">
        <v>1</v>
      </c>
      <c r="C33" s="19" t="s">
        <v>50</v>
      </c>
      <c r="D33" s="26">
        <v>1362.125</v>
      </c>
      <c r="E33" s="3">
        <v>1280.0</v>
      </c>
      <c r="F33" s="18">
        <v>1056.0</v>
      </c>
      <c r="G33" s="27">
        <v>300.0</v>
      </c>
      <c r="H33" s="27">
        <v>300.0</v>
      </c>
      <c r="I33" s="10" t="b">
        <v>1</v>
      </c>
      <c r="J33" s="1"/>
      <c r="M33" s="28"/>
    </row>
    <row r="34">
      <c r="A34" s="3">
        <v>30.0</v>
      </c>
      <c r="B34" s="18" t="b">
        <v>1</v>
      </c>
      <c r="C34" s="19" t="s">
        <v>51</v>
      </c>
      <c r="D34" s="21">
        <v>92.296</v>
      </c>
      <c r="E34" s="3">
        <v>1200.0</v>
      </c>
      <c r="F34" s="18">
        <v>797.0</v>
      </c>
      <c r="G34" s="3">
        <v>72.0</v>
      </c>
      <c r="H34" s="3">
        <v>72.0</v>
      </c>
      <c r="I34" s="10" t="b">
        <v>1</v>
      </c>
      <c r="J34" s="1"/>
      <c r="K34" s="1"/>
      <c r="L34" s="1"/>
      <c r="M34" s="1"/>
      <c r="N34" s="1"/>
      <c r="O34" s="1"/>
    </row>
    <row r="35">
      <c r="A35" s="3">
        <v>31.0</v>
      </c>
      <c r="B35" s="18" t="b">
        <v>1</v>
      </c>
      <c r="C35" s="19" t="s">
        <v>53</v>
      </c>
      <c r="D35" s="21">
        <v>161.112</v>
      </c>
      <c r="E35" s="3">
        <v>1280.0</v>
      </c>
      <c r="F35" s="18">
        <v>960.0</v>
      </c>
      <c r="G35" s="3">
        <v>72.0</v>
      </c>
      <c r="H35" s="3">
        <v>72.0</v>
      </c>
      <c r="I35" s="10" t="b">
        <v>1</v>
      </c>
      <c r="J35" s="1"/>
      <c r="K35" s="1"/>
      <c r="L35" s="1"/>
      <c r="M35" s="1"/>
      <c r="N35" s="1"/>
      <c r="O35" s="1"/>
    </row>
    <row r="36">
      <c r="A36" s="3">
        <v>32.0</v>
      </c>
      <c r="B36" s="18" t="b">
        <v>1</v>
      </c>
      <c r="C36" s="19" t="s">
        <v>54</v>
      </c>
      <c r="D36" s="26">
        <v>953.395</v>
      </c>
      <c r="E36" s="3">
        <v>1280.0</v>
      </c>
      <c r="F36" s="18">
        <v>960.0</v>
      </c>
      <c r="G36" s="27">
        <v>96.0</v>
      </c>
      <c r="H36" s="27">
        <v>96.0</v>
      </c>
      <c r="I36" s="10" t="b">
        <v>1</v>
      </c>
      <c r="J36" s="1"/>
      <c r="K36" s="1"/>
      <c r="L36" s="1"/>
      <c r="M36" s="1"/>
      <c r="N36" s="1"/>
      <c r="O36" s="1"/>
    </row>
    <row r="37">
      <c r="A37" s="3">
        <v>33.0</v>
      </c>
      <c r="B37" s="18" t="b">
        <v>1</v>
      </c>
      <c r="C37" s="19" t="s">
        <v>56</v>
      </c>
      <c r="D37" s="21">
        <v>335.508</v>
      </c>
      <c r="E37" s="3">
        <v>1280.0</v>
      </c>
      <c r="F37" s="18">
        <v>875.0</v>
      </c>
      <c r="G37" s="27">
        <v>240.0</v>
      </c>
      <c r="H37" s="27">
        <v>240.0</v>
      </c>
      <c r="I37" s="10" t="b">
        <v>1</v>
      </c>
      <c r="J37" s="1"/>
      <c r="K37" s="1"/>
      <c r="L37" s="1"/>
      <c r="M37" s="1"/>
      <c r="N37" s="1"/>
      <c r="O37" s="1"/>
    </row>
    <row r="38">
      <c r="A38" s="3">
        <v>34.0</v>
      </c>
      <c r="B38" s="18" t="b">
        <v>1</v>
      </c>
      <c r="C38" s="19" t="s">
        <v>57</v>
      </c>
      <c r="D38" s="21">
        <v>283.697</v>
      </c>
      <c r="E38" s="3">
        <v>1280.0</v>
      </c>
      <c r="F38" s="18">
        <v>796.0</v>
      </c>
      <c r="G38" s="3">
        <v>72.0</v>
      </c>
      <c r="H38" s="3">
        <v>72.0</v>
      </c>
      <c r="I38" s="10" t="b">
        <v>1</v>
      </c>
      <c r="J38" s="1"/>
      <c r="K38" s="1"/>
      <c r="L38" s="1"/>
      <c r="M38" s="1"/>
      <c r="N38" s="1"/>
      <c r="O38" s="1"/>
    </row>
    <row r="39">
      <c r="A39" s="3">
        <v>35.0</v>
      </c>
      <c r="B39" s="18" t="b">
        <v>1</v>
      </c>
      <c r="C39" s="19" t="s">
        <v>58</v>
      </c>
      <c r="D39" s="21">
        <v>287.017</v>
      </c>
      <c r="E39" s="3">
        <v>1280.0</v>
      </c>
      <c r="F39" s="18">
        <v>864.0</v>
      </c>
      <c r="G39" s="3">
        <v>72.0</v>
      </c>
      <c r="H39" s="3">
        <v>72.0</v>
      </c>
      <c r="I39" s="10" t="b">
        <v>1</v>
      </c>
      <c r="J39" s="1"/>
      <c r="K39" s="1"/>
      <c r="L39" s="1"/>
      <c r="M39" s="1"/>
      <c r="N39" s="1"/>
      <c r="O39" s="1"/>
    </row>
    <row r="40">
      <c r="A40" s="3">
        <v>36.0</v>
      </c>
      <c r="B40" s="18" t="b">
        <v>1</v>
      </c>
      <c r="C40" s="19" t="s">
        <v>59</v>
      </c>
      <c r="D40" s="21">
        <v>574.414</v>
      </c>
      <c r="E40" s="3">
        <v>1280.0</v>
      </c>
      <c r="F40" s="18">
        <v>960.0</v>
      </c>
      <c r="G40" s="3">
        <v>72.0</v>
      </c>
      <c r="H40" s="3">
        <v>72.0</v>
      </c>
      <c r="I40" s="10" t="b">
        <v>1</v>
      </c>
      <c r="J40" s="1"/>
      <c r="K40" s="1"/>
      <c r="L40" s="1"/>
      <c r="M40" s="1"/>
      <c r="N40" s="1"/>
      <c r="O40" s="1"/>
    </row>
    <row r="41">
      <c r="A41" s="3">
        <v>37.0</v>
      </c>
      <c r="B41" s="18" t="b">
        <v>1</v>
      </c>
      <c r="C41" s="19" t="s">
        <v>60</v>
      </c>
      <c r="D41" s="21">
        <v>209.678</v>
      </c>
      <c r="E41" s="3">
        <v>1280.0</v>
      </c>
      <c r="F41" s="18">
        <v>961.0</v>
      </c>
      <c r="G41" s="3">
        <v>72.0</v>
      </c>
      <c r="H41" s="3">
        <v>72.0</v>
      </c>
      <c r="I41" s="10" t="b">
        <v>1</v>
      </c>
      <c r="J41" s="1"/>
      <c r="K41" s="1"/>
      <c r="L41" s="1"/>
      <c r="M41" s="1"/>
      <c r="N41" s="1"/>
      <c r="O41" s="1"/>
    </row>
    <row r="42">
      <c r="A42" s="3">
        <v>38.0</v>
      </c>
      <c r="B42" s="18" t="b">
        <v>1</v>
      </c>
      <c r="C42" s="19" t="s">
        <v>61</v>
      </c>
      <c r="D42" s="21">
        <v>167.058</v>
      </c>
      <c r="E42" s="3">
        <v>1280.0</v>
      </c>
      <c r="F42" s="18">
        <v>879.0</v>
      </c>
      <c r="G42" s="27">
        <v>300.0</v>
      </c>
      <c r="H42" s="27">
        <v>300.0</v>
      </c>
      <c r="I42" s="10" t="b">
        <v>1</v>
      </c>
      <c r="J42" s="1"/>
      <c r="K42" s="1"/>
      <c r="L42" s="1"/>
      <c r="M42" s="1"/>
      <c r="N42" s="1"/>
      <c r="O42" s="1"/>
    </row>
    <row r="43">
      <c r="A43" s="3">
        <v>39.0</v>
      </c>
      <c r="B43" s="18" t="b">
        <v>1</v>
      </c>
      <c r="C43" s="19" t="s">
        <v>62</v>
      </c>
      <c r="D43" s="21">
        <v>198.732</v>
      </c>
      <c r="E43" s="3">
        <v>1280.0</v>
      </c>
      <c r="F43" s="18">
        <v>839.0</v>
      </c>
      <c r="G43" s="3">
        <v>72.0</v>
      </c>
      <c r="H43" s="3">
        <v>72.0</v>
      </c>
      <c r="I43" s="10" t="b">
        <v>1</v>
      </c>
      <c r="J43" s="1"/>
      <c r="K43" s="1"/>
      <c r="L43" s="1"/>
      <c r="M43" s="1"/>
      <c r="N43" s="1"/>
      <c r="O43" s="1"/>
    </row>
    <row r="44">
      <c r="A44" s="3">
        <v>40.0</v>
      </c>
      <c r="B44" s="18" t="b">
        <v>1</v>
      </c>
      <c r="C44" s="19" t="s">
        <v>63</v>
      </c>
      <c r="D44" s="21">
        <v>284.452</v>
      </c>
      <c r="E44" s="3">
        <v>1280.0</v>
      </c>
      <c r="F44" s="18">
        <v>884.0</v>
      </c>
      <c r="G44" s="3">
        <v>72.0</v>
      </c>
      <c r="H44" s="3">
        <v>72.0</v>
      </c>
      <c r="I44" s="10" t="b">
        <v>1</v>
      </c>
      <c r="J44" s="1"/>
      <c r="K44" s="1"/>
      <c r="L44" s="1"/>
      <c r="M44" s="1"/>
      <c r="N44" s="1"/>
      <c r="O44" s="1"/>
    </row>
    <row r="45">
      <c r="A45" s="3">
        <v>41.0</v>
      </c>
      <c r="B45" s="18" t="b">
        <v>1</v>
      </c>
      <c r="C45" s="19" t="s">
        <v>64</v>
      </c>
      <c r="D45" s="21">
        <v>318.02</v>
      </c>
      <c r="E45" s="3">
        <v>1280.0</v>
      </c>
      <c r="F45" s="18">
        <v>854.0</v>
      </c>
      <c r="G45" s="3">
        <v>72.0</v>
      </c>
      <c r="H45" s="3">
        <v>72.0</v>
      </c>
      <c r="I45" s="10" t="b">
        <v>1</v>
      </c>
      <c r="J45" s="1"/>
      <c r="K45" s="1"/>
      <c r="L45" s="1"/>
      <c r="M45" s="1"/>
      <c r="N45" s="1"/>
      <c r="O45" s="1"/>
    </row>
    <row r="46">
      <c r="A46" s="3">
        <v>42.0</v>
      </c>
      <c r="B46" s="18" t="b">
        <v>1</v>
      </c>
      <c r="C46" s="19" t="s">
        <v>65</v>
      </c>
      <c r="D46" s="21">
        <v>152.5</v>
      </c>
      <c r="E46" s="3">
        <v>1280.0</v>
      </c>
      <c r="F46" s="18">
        <v>959.0</v>
      </c>
      <c r="G46" s="3">
        <v>72.0</v>
      </c>
      <c r="H46" s="3">
        <v>72.0</v>
      </c>
      <c r="I46" s="10" t="b">
        <v>1</v>
      </c>
      <c r="J46" s="1"/>
      <c r="K46" s="1"/>
      <c r="L46" s="1"/>
      <c r="M46" s="1"/>
      <c r="N46" s="1"/>
      <c r="O46" s="1"/>
    </row>
    <row r="47">
      <c r="A47" s="3">
        <v>43.0</v>
      </c>
      <c r="B47" s="18" t="b">
        <v>1</v>
      </c>
      <c r="C47" s="19" t="s">
        <v>66</v>
      </c>
      <c r="D47" s="21">
        <v>493.147</v>
      </c>
      <c r="E47" s="3">
        <v>1280.0</v>
      </c>
      <c r="F47" s="18">
        <v>853.0</v>
      </c>
      <c r="G47" s="27">
        <v>75.0</v>
      </c>
      <c r="H47" s="27">
        <v>75.0</v>
      </c>
      <c r="I47" s="10" t="b">
        <v>1</v>
      </c>
      <c r="J47" s="1"/>
      <c r="K47" s="1"/>
      <c r="L47" s="1"/>
      <c r="M47" s="1"/>
      <c r="N47" s="1"/>
      <c r="O47" s="1"/>
    </row>
    <row r="48">
      <c r="A48" s="3">
        <v>44.0</v>
      </c>
      <c r="B48" s="18" t="b">
        <v>1</v>
      </c>
      <c r="C48" s="19" t="s">
        <v>68</v>
      </c>
      <c r="D48" s="21">
        <v>529.556</v>
      </c>
      <c r="E48" s="3">
        <v>1280.0</v>
      </c>
      <c r="F48" s="18">
        <v>944.0</v>
      </c>
      <c r="G48" s="3">
        <v>72.0</v>
      </c>
      <c r="H48" s="3">
        <v>72.0</v>
      </c>
      <c r="I48" s="10" t="b">
        <v>1</v>
      </c>
      <c r="J48" s="1"/>
      <c r="K48" s="1"/>
      <c r="L48" s="1"/>
      <c r="M48" s="1"/>
      <c r="N48" s="1"/>
      <c r="O48" s="1"/>
    </row>
    <row r="49">
      <c r="A49" s="3">
        <v>45.0</v>
      </c>
      <c r="B49" s="18" t="b">
        <v>1</v>
      </c>
      <c r="C49" s="19" t="s">
        <v>69</v>
      </c>
      <c r="D49" s="21">
        <v>259.812</v>
      </c>
      <c r="E49" s="3">
        <v>1280.0</v>
      </c>
      <c r="F49" s="18">
        <v>925.0</v>
      </c>
      <c r="G49" s="3">
        <v>72.0</v>
      </c>
      <c r="H49" s="3">
        <v>72.0</v>
      </c>
      <c r="I49" s="10" t="b">
        <v>1</v>
      </c>
      <c r="J49" s="1"/>
      <c r="K49" s="1"/>
      <c r="L49" s="1"/>
      <c r="M49" s="1"/>
      <c r="N49" s="1"/>
      <c r="O49" s="1"/>
    </row>
    <row r="50">
      <c r="A50" s="3">
        <v>46.0</v>
      </c>
      <c r="B50" s="18" t="b">
        <v>1</v>
      </c>
      <c r="C50" s="19" t="s">
        <v>70</v>
      </c>
      <c r="D50" s="21">
        <v>233.942</v>
      </c>
      <c r="E50" s="3">
        <v>1280.0</v>
      </c>
      <c r="F50" s="18">
        <v>854.0</v>
      </c>
      <c r="G50" s="3">
        <v>72.0</v>
      </c>
      <c r="H50" s="3">
        <v>72.0</v>
      </c>
      <c r="I50" s="10" t="b">
        <v>1</v>
      </c>
      <c r="J50" s="1"/>
      <c r="K50" s="1"/>
      <c r="L50" s="1"/>
      <c r="M50" s="1"/>
      <c r="N50" s="1"/>
      <c r="O50" s="1"/>
    </row>
    <row r="51">
      <c r="A51" s="3">
        <v>47.0</v>
      </c>
      <c r="B51" s="18" t="b">
        <v>1</v>
      </c>
      <c r="C51" s="19" t="s">
        <v>71</v>
      </c>
      <c r="D51" s="21">
        <v>188.213</v>
      </c>
      <c r="E51" s="3">
        <v>1280.0</v>
      </c>
      <c r="F51" s="18">
        <v>960.0</v>
      </c>
      <c r="G51" s="3">
        <v>72.0</v>
      </c>
      <c r="H51" s="3">
        <v>72.0</v>
      </c>
      <c r="I51" s="10" t="b">
        <v>1</v>
      </c>
      <c r="J51" s="1"/>
      <c r="K51" s="1"/>
      <c r="L51" s="1"/>
      <c r="M51" s="1"/>
      <c r="N51" s="1"/>
      <c r="O51" s="1"/>
    </row>
    <row r="52">
      <c r="A52" s="3">
        <v>48.0</v>
      </c>
      <c r="B52" s="18" t="b">
        <v>1</v>
      </c>
      <c r="C52" s="19" t="s">
        <v>72</v>
      </c>
      <c r="D52" s="21">
        <v>249.333</v>
      </c>
      <c r="E52" s="3">
        <v>1280.0</v>
      </c>
      <c r="F52" s="18">
        <v>960.0</v>
      </c>
      <c r="G52" s="3">
        <v>72.0</v>
      </c>
      <c r="H52" s="3">
        <v>72.0</v>
      </c>
      <c r="I52" s="10" t="b">
        <v>1</v>
      </c>
      <c r="J52" s="1"/>
      <c r="K52" s="1"/>
      <c r="L52" s="1"/>
      <c r="M52" s="1"/>
      <c r="N52" s="1"/>
      <c r="O52" s="1"/>
    </row>
    <row r="53">
      <c r="A53" s="3">
        <v>49.0</v>
      </c>
      <c r="B53" s="18" t="b">
        <v>1</v>
      </c>
      <c r="C53" s="19" t="s">
        <v>73</v>
      </c>
      <c r="D53" s="21">
        <v>530.476</v>
      </c>
      <c r="E53" s="3">
        <v>1280.0</v>
      </c>
      <c r="F53" s="18">
        <v>960.0</v>
      </c>
      <c r="G53" s="3">
        <v>72.0</v>
      </c>
      <c r="H53" s="3">
        <v>72.0</v>
      </c>
      <c r="I53" s="10" t="b">
        <v>1</v>
      </c>
      <c r="J53" s="1"/>
      <c r="K53" s="1"/>
      <c r="L53" s="1"/>
      <c r="M53" s="1"/>
      <c r="N53" s="1"/>
      <c r="O53" s="1"/>
    </row>
    <row r="54">
      <c r="A54" s="3">
        <v>50.0</v>
      </c>
      <c r="B54" s="18" t="b">
        <v>1</v>
      </c>
      <c r="C54" s="19" t="s">
        <v>74</v>
      </c>
      <c r="D54" s="21">
        <v>454.319</v>
      </c>
      <c r="E54" s="10">
        <v>1280.0</v>
      </c>
      <c r="F54" s="18">
        <v>914.0</v>
      </c>
      <c r="G54" s="3">
        <v>72.0</v>
      </c>
      <c r="H54" s="3">
        <v>72.0</v>
      </c>
      <c r="I54" s="10" t="b">
        <v>1</v>
      </c>
      <c r="J54" s="1"/>
      <c r="K54" s="1"/>
      <c r="L54" s="1"/>
      <c r="M54" s="1"/>
      <c r="N54" s="1"/>
      <c r="O54" s="1"/>
    </row>
    <row r="55">
      <c r="B55" s="33"/>
      <c r="C55" s="34"/>
      <c r="D55" s="35"/>
      <c r="E55" s="35"/>
      <c r="F55" s="33"/>
      <c r="H55" s="33"/>
    </row>
    <row r="56">
      <c r="C56" s="1"/>
      <c r="D56" s="1"/>
      <c r="E56" s="3"/>
      <c r="F56" s="1"/>
      <c r="G56" s="3"/>
      <c r="H56" s="1"/>
      <c r="I56" s="1"/>
      <c r="J56" s="1"/>
    </row>
    <row r="57">
      <c r="C57" s="1"/>
      <c r="D57" s="1"/>
      <c r="E57" s="1"/>
      <c r="F57" s="1"/>
      <c r="G57" s="1"/>
      <c r="H57" s="1"/>
      <c r="I57" s="1"/>
      <c r="J57" s="1"/>
    </row>
    <row r="58">
      <c r="C58" s="3" t="s">
        <v>75</v>
      </c>
      <c r="D58" s="3" t="s">
        <v>9</v>
      </c>
      <c r="E58" s="1"/>
      <c r="F58" s="3" t="s">
        <v>11</v>
      </c>
      <c r="G58" s="1"/>
      <c r="H58" s="3" t="s">
        <v>76</v>
      </c>
      <c r="I58" s="1"/>
      <c r="J58" s="1"/>
    </row>
    <row r="59">
      <c r="C59" s="1"/>
      <c r="D59" s="1"/>
      <c r="E59" s="1"/>
      <c r="F59" s="1"/>
      <c r="G59" s="1"/>
      <c r="H59" s="1"/>
      <c r="I59" s="1"/>
      <c r="J59" s="1"/>
    </row>
    <row r="60">
      <c r="C60" s="3" t="s">
        <v>77</v>
      </c>
      <c r="D60" s="3" t="s">
        <v>78</v>
      </c>
      <c r="E60" s="1"/>
      <c r="F60" s="3" t="s">
        <v>79</v>
      </c>
      <c r="G60" s="1"/>
      <c r="H60" s="3" t="s">
        <v>80</v>
      </c>
      <c r="I60" s="1"/>
      <c r="J60" s="1"/>
    </row>
    <row r="61">
      <c r="C61" s="3" t="s">
        <v>81</v>
      </c>
      <c r="D61" s="1">
        <f>QUARTILE(D5:D54,1)</f>
        <v>162.5985</v>
      </c>
      <c r="E61" s="1"/>
      <c r="F61" s="1">
        <f>QUARTILE(F5:F54,1)</f>
        <v>853</v>
      </c>
      <c r="G61" s="1"/>
      <c r="H61" s="1">
        <f>QUARTILE(H5:H54,1)</f>
        <v>72</v>
      </c>
      <c r="I61" s="1"/>
      <c r="J61" s="1"/>
    </row>
    <row r="62">
      <c r="C62" s="3" t="s">
        <v>82</v>
      </c>
      <c r="D62" s="1">
        <f>QUARTILE(D5:D54,3)</f>
        <v>331.136</v>
      </c>
      <c r="E62" s="1"/>
      <c r="F62" s="1">
        <f>QUARTILE(F5:F54,3)</f>
        <v>960</v>
      </c>
      <c r="G62" s="1"/>
      <c r="H62" s="1">
        <f>QUARTILE(H5:H54,3)</f>
        <v>72</v>
      </c>
      <c r="I62" s="1"/>
      <c r="J62" s="1"/>
    </row>
    <row r="63">
      <c r="C63" s="3" t="s">
        <v>83</v>
      </c>
      <c r="D63" s="1">
        <f>D62-D61</f>
        <v>168.5375</v>
      </c>
      <c r="E63" s="1"/>
      <c r="F63" s="1">
        <f>F62-F61</f>
        <v>107</v>
      </c>
      <c r="G63" s="1"/>
      <c r="H63" s="1">
        <f>H62-H61</f>
        <v>0</v>
      </c>
      <c r="I63" s="1"/>
      <c r="J63" s="1"/>
    </row>
    <row r="64">
      <c r="C64" s="3" t="s">
        <v>84</v>
      </c>
      <c r="D64" s="1">
        <f>1.5*D63</f>
        <v>252.80625</v>
      </c>
      <c r="E64" s="1"/>
      <c r="F64" s="1">
        <f>1.5*F63</f>
        <v>160.5</v>
      </c>
      <c r="G64" s="1"/>
      <c r="H64" s="1">
        <f>1.5*H63</f>
        <v>0</v>
      </c>
      <c r="I64" s="1"/>
      <c r="J64" s="1"/>
    </row>
    <row r="65">
      <c r="C65" s="3" t="s">
        <v>87</v>
      </c>
      <c r="D65" s="1">
        <f>D62+D64</f>
        <v>583.94225</v>
      </c>
      <c r="E65" s="1"/>
      <c r="F65" s="1">
        <f>F62+F64</f>
        <v>1120.5</v>
      </c>
      <c r="G65" s="1"/>
      <c r="H65" s="1">
        <f>H62+H64</f>
        <v>72</v>
      </c>
      <c r="I65" s="1"/>
      <c r="J65" s="1"/>
    </row>
    <row r="66">
      <c r="C66" s="3" t="s">
        <v>92</v>
      </c>
      <c r="D66" s="1">
        <f>D61-D64</f>
        <v>-90.20775</v>
      </c>
      <c r="E66" s="1"/>
      <c r="F66" s="1">
        <f>F61-F64</f>
        <v>692.5</v>
      </c>
      <c r="G66" s="1"/>
      <c r="H66" s="1">
        <f>H61-H64</f>
        <v>72</v>
      </c>
      <c r="I66" s="1"/>
      <c r="J66" s="1"/>
    </row>
    <row r="67">
      <c r="C67" s="3" t="s">
        <v>95</v>
      </c>
      <c r="D67" s="3" t="s">
        <v>89</v>
      </c>
      <c r="E67" s="1"/>
      <c r="F67" s="3" t="s">
        <v>89</v>
      </c>
      <c r="G67" s="1"/>
      <c r="H67" s="3" t="s">
        <v>90</v>
      </c>
      <c r="I67" s="1"/>
      <c r="J67" s="1"/>
    </row>
    <row r="68">
      <c r="C68" s="3" t="s">
        <v>96</v>
      </c>
      <c r="D68" s="3" t="s">
        <v>97</v>
      </c>
      <c r="E68" s="1"/>
      <c r="F68" s="3" t="s">
        <v>89</v>
      </c>
      <c r="G68" s="1"/>
      <c r="H68" s="3" t="s">
        <v>90</v>
      </c>
      <c r="I68" s="1"/>
      <c r="J68" s="1"/>
    </row>
    <row r="69">
      <c r="C69" s="3" t="s">
        <v>98</v>
      </c>
      <c r="D69" s="3" t="s">
        <v>90</v>
      </c>
      <c r="E69" s="1"/>
      <c r="F69" s="3" t="s">
        <v>90</v>
      </c>
      <c r="G69" s="1"/>
      <c r="H69" s="3" t="s">
        <v>99</v>
      </c>
      <c r="I69" s="1"/>
      <c r="J69" s="1"/>
    </row>
    <row r="70">
      <c r="C70" s="1"/>
      <c r="D70" s="1"/>
      <c r="E70" s="1"/>
      <c r="F70" s="1"/>
      <c r="G70" s="1"/>
      <c r="H70" s="1"/>
      <c r="I70" s="1"/>
      <c r="J70" s="1"/>
    </row>
    <row r="71">
      <c r="C71" s="1"/>
      <c r="D71" s="1"/>
      <c r="E71" s="1"/>
      <c r="F71" s="1"/>
      <c r="G71" s="1"/>
      <c r="H71" s="1"/>
      <c r="I71" s="1"/>
      <c r="J71" s="1"/>
    </row>
    <row r="72">
      <c r="C72" s="1"/>
      <c r="D72" s="1"/>
      <c r="E72" s="1"/>
      <c r="F72" s="1"/>
      <c r="G72" s="1"/>
      <c r="H72" s="1"/>
      <c r="I72" s="1"/>
      <c r="J72" s="1"/>
    </row>
    <row r="73">
      <c r="C73" s="1"/>
      <c r="D73" s="1"/>
      <c r="E73" s="1"/>
      <c r="F73" s="1"/>
      <c r="G73" s="1"/>
      <c r="H73" s="1"/>
      <c r="I73" s="1"/>
      <c r="J73" s="1"/>
    </row>
    <row r="74">
      <c r="C74" s="1"/>
      <c r="D74" s="1"/>
      <c r="E74" s="1"/>
      <c r="F74" s="1"/>
      <c r="G74" s="1"/>
      <c r="H74" s="1"/>
      <c r="I74" s="1"/>
      <c r="J74" s="1"/>
    </row>
  </sheetData>
  <mergeCells count="1">
    <mergeCell ref="E3:F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13"/>
    <col customWidth="1" min="2" max="2" width="5.5"/>
    <col customWidth="1" min="3" max="3" width="29.13"/>
  </cols>
  <sheetData>
    <row r="1">
      <c r="A1" s="1"/>
      <c r="B1" s="2"/>
      <c r="C1" s="3" t="s">
        <v>0</v>
      </c>
      <c r="D1" s="4">
        <v>4302.657</v>
      </c>
      <c r="E1" s="5"/>
      <c r="F1" s="5">
        <v>1120.5</v>
      </c>
      <c r="G1" s="5"/>
      <c r="H1" s="4">
        <v>28.34</v>
      </c>
      <c r="I1" s="1"/>
      <c r="J1" s="3"/>
    </row>
    <row r="2">
      <c r="A2" s="1"/>
      <c r="B2" s="6"/>
      <c r="C2" s="3" t="s">
        <v>1</v>
      </c>
      <c r="D2" s="4">
        <v>2659.673</v>
      </c>
      <c r="E2" s="5"/>
      <c r="F2" s="5">
        <v>692.5</v>
      </c>
      <c r="G2" s="5"/>
      <c r="H2" s="4">
        <v>28.34</v>
      </c>
      <c r="I2" s="1"/>
      <c r="J2" s="3" t="s">
        <v>2</v>
      </c>
      <c r="K2" s="7"/>
    </row>
    <row r="3">
      <c r="A3" s="1"/>
      <c r="B3" s="8"/>
      <c r="C3" s="9"/>
      <c r="D3" s="10" t="s">
        <v>3</v>
      </c>
      <c r="E3" s="10" t="s">
        <v>4</v>
      </c>
      <c r="F3" s="11"/>
      <c r="G3" s="12" t="s">
        <v>5</v>
      </c>
      <c r="H3" s="12"/>
      <c r="I3" s="14"/>
      <c r="J3" s="1"/>
    </row>
    <row r="4">
      <c r="A4" s="3" t="s">
        <v>6</v>
      </c>
      <c r="B4" s="15" t="s">
        <v>7</v>
      </c>
      <c r="C4" s="16" t="s">
        <v>8</v>
      </c>
      <c r="D4" s="16" t="s">
        <v>9</v>
      </c>
      <c r="E4" s="17" t="s">
        <v>10</v>
      </c>
      <c r="F4" s="15" t="s">
        <v>11</v>
      </c>
      <c r="G4" s="17" t="s">
        <v>12</v>
      </c>
      <c r="H4" s="15" t="s">
        <v>13</v>
      </c>
      <c r="I4" s="18" t="s">
        <v>15</v>
      </c>
      <c r="J4" s="3" t="s">
        <v>14</v>
      </c>
      <c r="R4" s="20"/>
      <c r="S4" s="22"/>
      <c r="T4" s="22"/>
      <c r="U4" s="22"/>
      <c r="V4" s="20"/>
    </row>
    <row r="5">
      <c r="A5" s="3">
        <v>1.0</v>
      </c>
      <c r="B5" s="18" t="b">
        <v>1</v>
      </c>
      <c r="C5" s="19" t="s">
        <v>16</v>
      </c>
      <c r="D5" s="23">
        <v>3686.538</v>
      </c>
      <c r="E5" s="3">
        <v>1280.0</v>
      </c>
      <c r="F5" s="18">
        <v>960.0</v>
      </c>
      <c r="G5" s="3">
        <v>28.34</v>
      </c>
      <c r="H5" s="3">
        <v>28.34</v>
      </c>
      <c r="I5" s="25" t="s">
        <v>17</v>
      </c>
      <c r="J5" s="24" t="b">
        <v>1</v>
      </c>
      <c r="R5" s="20"/>
      <c r="S5" s="22"/>
      <c r="T5" s="22"/>
      <c r="U5" s="22"/>
      <c r="V5" s="20"/>
    </row>
    <row r="6">
      <c r="A6" s="3">
        <v>2.0</v>
      </c>
      <c r="B6" s="18" t="b">
        <v>1</v>
      </c>
      <c r="C6" s="19" t="s">
        <v>18</v>
      </c>
      <c r="D6" s="23">
        <v>3686.538</v>
      </c>
      <c r="E6" s="3">
        <v>1280.0</v>
      </c>
      <c r="F6" s="18">
        <v>960.0</v>
      </c>
      <c r="G6" s="27">
        <v>70.86</v>
      </c>
      <c r="H6" s="27">
        <v>70.86</v>
      </c>
      <c r="I6" s="19" t="s">
        <v>19</v>
      </c>
      <c r="J6" s="10" t="b">
        <v>1</v>
      </c>
      <c r="R6" s="20"/>
      <c r="S6" s="22"/>
      <c r="T6" s="22"/>
      <c r="U6" s="22"/>
      <c r="V6" s="20"/>
    </row>
    <row r="7">
      <c r="A7" s="3">
        <v>3.0</v>
      </c>
      <c r="B7" s="18" t="b">
        <v>1</v>
      </c>
      <c r="C7" s="19" t="s">
        <v>20</v>
      </c>
      <c r="D7" s="23">
        <v>3275.658</v>
      </c>
      <c r="E7" s="3">
        <v>1280.0</v>
      </c>
      <c r="F7" s="18">
        <v>853.0</v>
      </c>
      <c r="G7" s="3">
        <v>28.34</v>
      </c>
      <c r="H7" s="3">
        <v>28.34</v>
      </c>
      <c r="I7" s="19" t="s">
        <v>17</v>
      </c>
      <c r="J7" s="10" t="b">
        <v>1</v>
      </c>
      <c r="R7" s="20"/>
      <c r="S7" s="22"/>
      <c r="T7" s="22"/>
      <c r="U7" s="22"/>
      <c r="V7" s="20"/>
    </row>
    <row r="8">
      <c r="A8" s="3">
        <v>4.0</v>
      </c>
      <c r="B8" s="18" t="b">
        <v>1</v>
      </c>
      <c r="C8" s="19" t="s">
        <v>21</v>
      </c>
      <c r="D8" s="23">
        <v>3275.658</v>
      </c>
      <c r="E8" s="3">
        <v>1280.0</v>
      </c>
      <c r="F8" s="18">
        <v>853.0</v>
      </c>
      <c r="G8" s="27">
        <v>118.11</v>
      </c>
      <c r="H8" s="27">
        <v>118.11</v>
      </c>
      <c r="I8" s="19" t="s">
        <v>22</v>
      </c>
      <c r="J8" s="10" t="b">
        <v>1</v>
      </c>
      <c r="R8" s="20"/>
      <c r="S8" s="22"/>
      <c r="T8" s="22"/>
      <c r="U8" s="22"/>
      <c r="W8" s="20"/>
    </row>
    <row r="9">
      <c r="A9" s="3">
        <v>5.0</v>
      </c>
      <c r="B9" s="18" t="b">
        <v>1</v>
      </c>
      <c r="C9" s="19" t="s">
        <v>23</v>
      </c>
      <c r="D9" s="23">
        <v>3275.658</v>
      </c>
      <c r="E9" s="3">
        <v>1280.0</v>
      </c>
      <c r="F9" s="18">
        <v>853.0</v>
      </c>
      <c r="G9" s="27">
        <v>137.79</v>
      </c>
      <c r="H9" s="27">
        <v>137.79</v>
      </c>
      <c r="I9" s="19" t="s">
        <v>24</v>
      </c>
      <c r="J9" s="10" t="b">
        <v>1</v>
      </c>
      <c r="R9" s="20"/>
      <c r="S9" s="22"/>
      <c r="T9" s="22"/>
      <c r="U9" s="22"/>
      <c r="W9" s="20"/>
    </row>
    <row r="10">
      <c r="A10" s="3">
        <v>6.0</v>
      </c>
      <c r="B10" s="18" t="b">
        <v>1</v>
      </c>
      <c r="C10" s="19" t="s">
        <v>25</v>
      </c>
      <c r="D10" s="23">
        <v>4055.178</v>
      </c>
      <c r="E10" s="3">
        <v>1280.0</v>
      </c>
      <c r="F10" s="18">
        <v>1056.0</v>
      </c>
      <c r="G10" s="27">
        <v>37.79</v>
      </c>
      <c r="H10" s="27">
        <v>37.79</v>
      </c>
      <c r="I10" s="19" t="s">
        <v>26</v>
      </c>
      <c r="J10" s="10" t="b">
        <v>1</v>
      </c>
      <c r="R10" s="20"/>
      <c r="S10" s="22"/>
      <c r="T10" s="22"/>
      <c r="U10" s="22"/>
      <c r="W10" s="20"/>
    </row>
    <row r="11">
      <c r="A11" s="3">
        <v>7.0</v>
      </c>
      <c r="B11" s="18" t="b">
        <v>1</v>
      </c>
      <c r="C11" s="19" t="s">
        <v>27</v>
      </c>
      <c r="D11" s="23">
        <v>3271.818</v>
      </c>
      <c r="E11" s="3">
        <v>1280.0</v>
      </c>
      <c r="F11" s="18">
        <v>852.0</v>
      </c>
      <c r="G11" s="3">
        <v>28.34</v>
      </c>
      <c r="H11" s="3">
        <v>28.34</v>
      </c>
      <c r="I11" s="19" t="s">
        <v>17</v>
      </c>
      <c r="J11" s="10" t="b">
        <v>1</v>
      </c>
      <c r="R11" s="20"/>
      <c r="S11" s="22"/>
      <c r="T11" s="22"/>
      <c r="U11" s="22"/>
      <c r="W11" s="20"/>
    </row>
    <row r="12">
      <c r="A12" s="3">
        <v>8.0</v>
      </c>
      <c r="B12" s="18" t="b">
        <v>1</v>
      </c>
      <c r="C12" s="19" t="s">
        <v>28</v>
      </c>
      <c r="D12" s="23">
        <v>3280.058</v>
      </c>
      <c r="E12" s="3">
        <v>1280.0</v>
      </c>
      <c r="F12" s="18">
        <v>854.0</v>
      </c>
      <c r="G12" s="3">
        <v>28.34</v>
      </c>
      <c r="H12" s="3">
        <v>28.34</v>
      </c>
      <c r="I12" s="19" t="s">
        <v>17</v>
      </c>
      <c r="J12" s="10" t="b">
        <v>1</v>
      </c>
      <c r="R12" s="20"/>
      <c r="S12" s="22"/>
      <c r="T12" s="22"/>
      <c r="U12" s="22"/>
      <c r="W12" s="20"/>
    </row>
    <row r="13">
      <c r="A13" s="3">
        <v>9.0</v>
      </c>
      <c r="B13" s="18" t="b">
        <v>1</v>
      </c>
      <c r="C13" s="19" t="s">
        <v>29</v>
      </c>
      <c r="D13" s="23">
        <v>3267.978</v>
      </c>
      <c r="E13" s="3">
        <v>1280.0</v>
      </c>
      <c r="F13" s="18">
        <v>851.0</v>
      </c>
      <c r="G13" s="3">
        <v>28.34</v>
      </c>
      <c r="H13" s="3">
        <v>28.34</v>
      </c>
      <c r="I13" s="19" t="s">
        <v>17</v>
      </c>
      <c r="J13" s="10" t="b">
        <v>1</v>
      </c>
      <c r="R13" s="20"/>
      <c r="S13" s="22"/>
      <c r="T13" s="22"/>
      <c r="U13" s="22"/>
      <c r="W13" s="20"/>
    </row>
    <row r="14">
      <c r="A14" s="3">
        <v>10.0</v>
      </c>
      <c r="B14" s="18" t="b">
        <v>1</v>
      </c>
      <c r="C14" s="19" t="s">
        <v>30</v>
      </c>
      <c r="D14" s="23">
        <v>3275.658</v>
      </c>
      <c r="E14" s="3">
        <v>1280.0</v>
      </c>
      <c r="F14" s="18">
        <v>853.0</v>
      </c>
      <c r="G14" s="3">
        <v>28.34</v>
      </c>
      <c r="H14" s="3">
        <v>28.34</v>
      </c>
      <c r="I14" s="19" t="s">
        <v>17</v>
      </c>
      <c r="J14" s="10" t="b">
        <v>1</v>
      </c>
      <c r="L14" s="28"/>
      <c r="M14" s="28"/>
      <c r="N14" s="28"/>
      <c r="R14" s="20"/>
      <c r="S14" s="22"/>
      <c r="T14" s="22"/>
      <c r="U14" s="22"/>
      <c r="V14" s="20"/>
    </row>
    <row r="15">
      <c r="A15" s="3">
        <v>11.0</v>
      </c>
      <c r="B15" s="18" t="b">
        <v>1</v>
      </c>
      <c r="C15" s="19" t="s">
        <v>31</v>
      </c>
      <c r="D15" s="23">
        <v>3275.658</v>
      </c>
      <c r="E15" s="3">
        <v>1280.0</v>
      </c>
      <c r="F15" s="18">
        <v>853.0</v>
      </c>
      <c r="G15" s="3">
        <v>28.34</v>
      </c>
      <c r="H15" s="3">
        <v>28.34</v>
      </c>
      <c r="I15" s="19" t="s">
        <v>17</v>
      </c>
      <c r="J15" s="10" t="b">
        <v>1</v>
      </c>
      <c r="N15" s="28"/>
      <c r="R15" s="20"/>
      <c r="S15" s="22"/>
      <c r="T15" s="22"/>
      <c r="U15" s="22"/>
      <c r="V15" s="20"/>
    </row>
    <row r="16">
      <c r="A16" s="3">
        <v>12.0</v>
      </c>
      <c r="B16" s="18" t="b">
        <v>1</v>
      </c>
      <c r="C16" s="19" t="s">
        <v>32</v>
      </c>
      <c r="D16" s="23">
        <v>3072.138</v>
      </c>
      <c r="E16" s="3">
        <v>1280.0</v>
      </c>
      <c r="F16" s="18">
        <v>800.0</v>
      </c>
      <c r="G16" s="3">
        <v>28.34</v>
      </c>
      <c r="H16" s="3">
        <v>28.34</v>
      </c>
      <c r="I16" s="19" t="s">
        <v>17</v>
      </c>
      <c r="J16" s="10" t="b">
        <v>1</v>
      </c>
      <c r="M16" s="28"/>
      <c r="N16" s="28"/>
      <c r="O16" s="29"/>
      <c r="R16" s="30"/>
      <c r="S16" s="22"/>
      <c r="T16" s="22"/>
      <c r="U16" s="22"/>
      <c r="V16" s="20"/>
    </row>
    <row r="17">
      <c r="A17" s="3">
        <v>13.0</v>
      </c>
      <c r="B17" s="18" t="b">
        <v>1</v>
      </c>
      <c r="C17" s="19" t="s">
        <v>33</v>
      </c>
      <c r="D17" s="23">
        <v>3689.678</v>
      </c>
      <c r="E17" s="3">
        <v>1280.0</v>
      </c>
      <c r="F17" s="18">
        <v>960.0</v>
      </c>
      <c r="G17" s="3">
        <v>28.34</v>
      </c>
      <c r="H17" s="3">
        <v>28.34</v>
      </c>
      <c r="I17" s="19" t="s">
        <v>17</v>
      </c>
      <c r="J17" s="10" t="b">
        <v>1</v>
      </c>
      <c r="N17" s="28"/>
      <c r="S17" s="22"/>
      <c r="T17" s="22"/>
      <c r="U17" s="22"/>
      <c r="V17" s="20"/>
    </row>
    <row r="18">
      <c r="A18" s="3">
        <v>14.0</v>
      </c>
      <c r="B18" s="18" t="b">
        <v>1</v>
      </c>
      <c r="C18" s="19" t="s">
        <v>34</v>
      </c>
      <c r="D18" s="23">
        <v>3590.538</v>
      </c>
      <c r="E18" s="3">
        <v>1280.0</v>
      </c>
      <c r="F18" s="18">
        <v>935.0</v>
      </c>
      <c r="G18" s="3">
        <v>28.34</v>
      </c>
      <c r="H18" s="3">
        <v>28.34</v>
      </c>
      <c r="I18" s="19" t="s">
        <v>17</v>
      </c>
      <c r="J18" s="10" t="b">
        <v>1</v>
      </c>
      <c r="M18" s="28"/>
      <c r="N18" s="28"/>
      <c r="S18" s="22"/>
      <c r="T18" s="22"/>
      <c r="U18" s="22"/>
      <c r="W18" s="20"/>
    </row>
    <row r="19">
      <c r="A19" s="3">
        <v>15.0</v>
      </c>
      <c r="B19" s="18" t="b">
        <v>1</v>
      </c>
      <c r="C19" s="19" t="s">
        <v>35</v>
      </c>
      <c r="D19" s="23">
        <v>3291.018</v>
      </c>
      <c r="E19" s="3">
        <v>1280.0</v>
      </c>
      <c r="F19" s="18">
        <v>857.0</v>
      </c>
      <c r="G19" s="3">
        <v>28.34</v>
      </c>
      <c r="H19" s="3">
        <v>28.34</v>
      </c>
      <c r="I19" s="19" t="s">
        <v>17</v>
      </c>
      <c r="J19" s="10" t="b">
        <v>1</v>
      </c>
      <c r="N19" s="28"/>
      <c r="S19" s="22"/>
      <c r="T19" s="22"/>
      <c r="U19" s="22"/>
    </row>
    <row r="20">
      <c r="A20" s="3">
        <v>16.0</v>
      </c>
      <c r="B20" s="18" t="b">
        <v>1</v>
      </c>
      <c r="C20" s="19" t="s">
        <v>36</v>
      </c>
      <c r="D20" s="23">
        <v>3686.538</v>
      </c>
      <c r="E20" s="3">
        <v>1280.0</v>
      </c>
      <c r="F20" s="18">
        <v>960.0</v>
      </c>
      <c r="G20" s="3">
        <v>28.34</v>
      </c>
      <c r="H20" s="3">
        <v>28.34</v>
      </c>
      <c r="I20" s="19" t="s">
        <v>17</v>
      </c>
      <c r="J20" s="10" t="b">
        <v>1</v>
      </c>
      <c r="L20" s="28"/>
      <c r="M20" s="28"/>
      <c r="N20" s="28"/>
      <c r="S20" s="31"/>
      <c r="T20" s="22"/>
      <c r="U20" s="22"/>
    </row>
    <row r="21">
      <c r="A21" s="3">
        <v>17.0</v>
      </c>
      <c r="B21" s="18" t="b">
        <v>1</v>
      </c>
      <c r="C21" s="19" t="s">
        <v>37</v>
      </c>
      <c r="D21" s="23">
        <v>3686.538</v>
      </c>
      <c r="E21" s="3">
        <v>1280.0</v>
      </c>
      <c r="F21" s="18">
        <v>960.0</v>
      </c>
      <c r="G21" s="3">
        <v>28.34</v>
      </c>
      <c r="H21" s="3">
        <v>28.34</v>
      </c>
      <c r="I21" s="19" t="s">
        <v>17</v>
      </c>
      <c r="J21" s="10" t="b">
        <v>1</v>
      </c>
      <c r="N21" s="28"/>
      <c r="S21" s="22"/>
      <c r="T21" s="22"/>
      <c r="U21" s="22"/>
    </row>
    <row r="22">
      <c r="A22" s="3">
        <v>18.0</v>
      </c>
      <c r="B22" s="18" t="b">
        <v>1</v>
      </c>
      <c r="C22" s="19" t="s">
        <v>38</v>
      </c>
      <c r="D22" s="23">
        <v>3686.538</v>
      </c>
      <c r="E22" s="3">
        <v>1280.0</v>
      </c>
      <c r="F22" s="18">
        <v>960.0</v>
      </c>
      <c r="G22" s="3">
        <v>28.34</v>
      </c>
      <c r="H22" s="3">
        <v>28.34</v>
      </c>
      <c r="I22" s="19" t="s">
        <v>17</v>
      </c>
      <c r="J22" s="10" t="b">
        <v>1</v>
      </c>
      <c r="M22" s="28"/>
      <c r="N22" s="28"/>
      <c r="S22" s="22"/>
      <c r="T22" s="22"/>
      <c r="U22" s="22"/>
    </row>
    <row r="23">
      <c r="A23" s="3">
        <v>19.0</v>
      </c>
      <c r="B23" s="18" t="b">
        <v>1</v>
      </c>
      <c r="C23" s="19" t="s">
        <v>39</v>
      </c>
      <c r="D23" s="23">
        <v>3686.538</v>
      </c>
      <c r="E23" s="3">
        <v>1280.0</v>
      </c>
      <c r="F23" s="18">
        <v>960.0</v>
      </c>
      <c r="G23" s="27">
        <v>59.05</v>
      </c>
      <c r="H23" s="27">
        <v>59.05</v>
      </c>
      <c r="I23" s="19" t="s">
        <v>42</v>
      </c>
      <c r="J23" s="10" t="b">
        <v>1</v>
      </c>
      <c r="N23" s="28"/>
      <c r="S23" s="22"/>
      <c r="T23" s="22"/>
      <c r="U23" s="22"/>
    </row>
    <row r="24">
      <c r="A24" s="3">
        <v>20.0</v>
      </c>
      <c r="B24" s="18" t="b">
        <v>1</v>
      </c>
      <c r="C24" s="19" t="s">
        <v>40</v>
      </c>
      <c r="D24" s="23">
        <v>3279.498</v>
      </c>
      <c r="E24" s="3">
        <v>1280.0</v>
      </c>
      <c r="F24" s="18">
        <v>854.0</v>
      </c>
      <c r="G24" s="3">
        <v>28.34</v>
      </c>
      <c r="H24" s="3">
        <v>28.34</v>
      </c>
      <c r="I24" s="19" t="s">
        <v>17</v>
      </c>
      <c r="J24" s="10" t="b">
        <v>1</v>
      </c>
      <c r="M24" s="28"/>
      <c r="N24" s="28"/>
      <c r="S24" s="22"/>
      <c r="T24" s="22"/>
      <c r="U24" s="22"/>
    </row>
    <row r="25">
      <c r="A25" s="3">
        <v>21.0</v>
      </c>
      <c r="B25" s="18" t="b">
        <v>1</v>
      </c>
      <c r="C25" s="19" t="s">
        <v>41</v>
      </c>
      <c r="D25" s="23">
        <v>3279.498</v>
      </c>
      <c r="E25" s="3">
        <v>1280.0</v>
      </c>
      <c r="F25" s="18">
        <v>854.0</v>
      </c>
      <c r="G25" s="3">
        <v>28.34</v>
      </c>
      <c r="H25" s="3">
        <v>28.34</v>
      </c>
      <c r="I25" s="19" t="s">
        <v>17</v>
      </c>
      <c r="J25" s="10" t="b">
        <v>1</v>
      </c>
      <c r="N25" s="28"/>
      <c r="S25" s="22"/>
      <c r="T25" s="22"/>
      <c r="U25" s="22"/>
    </row>
    <row r="26">
      <c r="A26" s="3">
        <v>22.0</v>
      </c>
      <c r="B26" s="18" t="b">
        <v>1</v>
      </c>
      <c r="C26" s="19" t="s">
        <v>43</v>
      </c>
      <c r="D26" s="23">
        <v>3275.658</v>
      </c>
      <c r="E26" s="3">
        <v>1280.0</v>
      </c>
      <c r="F26" s="18">
        <v>853.0</v>
      </c>
      <c r="G26" s="3">
        <v>28.34</v>
      </c>
      <c r="H26" s="3">
        <v>28.34</v>
      </c>
      <c r="I26" s="19" t="s">
        <v>17</v>
      </c>
      <c r="J26" s="10" t="b">
        <v>1</v>
      </c>
      <c r="L26" s="28"/>
      <c r="M26" s="28"/>
      <c r="N26" s="28"/>
      <c r="S26" s="22"/>
      <c r="T26" s="22"/>
      <c r="U26" s="22"/>
    </row>
    <row r="27">
      <c r="A27" s="3">
        <v>23.0</v>
      </c>
      <c r="B27" s="18" t="b">
        <v>1</v>
      </c>
      <c r="C27" s="19" t="s">
        <v>44</v>
      </c>
      <c r="D27" s="23">
        <v>3275.658</v>
      </c>
      <c r="E27" s="3">
        <v>1280.0</v>
      </c>
      <c r="F27" s="18">
        <v>853.0</v>
      </c>
      <c r="G27" s="3">
        <v>28.34</v>
      </c>
      <c r="H27" s="3">
        <v>28.34</v>
      </c>
      <c r="I27" s="19" t="s">
        <v>17</v>
      </c>
      <c r="J27" s="10" t="b">
        <v>1</v>
      </c>
      <c r="N27" s="28"/>
      <c r="S27" s="22"/>
      <c r="T27" s="22"/>
      <c r="U27" s="22"/>
    </row>
    <row r="28">
      <c r="A28" s="3">
        <v>24.0</v>
      </c>
      <c r="B28" s="18" t="b">
        <v>1</v>
      </c>
      <c r="C28" s="19" t="s">
        <v>45</v>
      </c>
      <c r="D28" s="23">
        <v>3686.538</v>
      </c>
      <c r="E28" s="3">
        <v>1280.0</v>
      </c>
      <c r="F28" s="18">
        <v>853.0</v>
      </c>
      <c r="G28" s="3">
        <v>28.34</v>
      </c>
      <c r="H28" s="3">
        <v>28.34</v>
      </c>
      <c r="I28" s="19" t="s">
        <v>17</v>
      </c>
      <c r="J28" s="10" t="b">
        <v>1</v>
      </c>
      <c r="M28" s="28"/>
      <c r="N28" s="28"/>
      <c r="S28" s="22"/>
      <c r="T28" s="22"/>
      <c r="U28" s="22"/>
    </row>
    <row r="29">
      <c r="A29" s="3">
        <v>25.0</v>
      </c>
      <c r="B29" s="18" t="b">
        <v>1</v>
      </c>
      <c r="C29" s="19" t="s">
        <v>46</v>
      </c>
      <c r="D29" s="23">
        <v>3939.978</v>
      </c>
      <c r="E29" s="3">
        <v>1280.0</v>
      </c>
      <c r="F29" s="18">
        <v>1026.0</v>
      </c>
      <c r="G29" s="3">
        <v>28.34</v>
      </c>
      <c r="H29" s="3">
        <v>28.34</v>
      </c>
      <c r="I29" s="19" t="s">
        <v>17</v>
      </c>
      <c r="J29" s="10" t="b">
        <v>1</v>
      </c>
      <c r="N29" s="28"/>
      <c r="S29" s="22"/>
      <c r="T29" s="22"/>
      <c r="U29" s="22"/>
    </row>
    <row r="30">
      <c r="A30" s="3">
        <v>26.0</v>
      </c>
      <c r="B30" s="18" t="b">
        <v>1</v>
      </c>
      <c r="C30" s="19" t="s">
        <v>47</v>
      </c>
      <c r="D30" s="23">
        <v>3276.194</v>
      </c>
      <c r="E30" s="3">
        <v>1280.0</v>
      </c>
      <c r="F30" s="18">
        <v>853.0</v>
      </c>
      <c r="G30" s="3">
        <v>28.34</v>
      </c>
      <c r="H30" s="3">
        <v>28.34</v>
      </c>
      <c r="I30" s="19" t="s">
        <v>17</v>
      </c>
      <c r="J30" s="10" t="b">
        <v>1</v>
      </c>
      <c r="M30" s="28"/>
      <c r="N30" s="28"/>
      <c r="S30" s="22"/>
      <c r="T30" s="22"/>
      <c r="U30" s="22"/>
    </row>
    <row r="31">
      <c r="A31" s="3">
        <v>27.0</v>
      </c>
      <c r="B31" s="18" t="b">
        <v>1</v>
      </c>
      <c r="C31" s="19" t="s">
        <v>48</v>
      </c>
      <c r="D31" s="23">
        <v>3525.258</v>
      </c>
      <c r="E31" s="3">
        <v>1280.0</v>
      </c>
      <c r="F31" s="18">
        <v>918.0</v>
      </c>
      <c r="G31" s="3">
        <v>28.34</v>
      </c>
      <c r="H31" s="3">
        <v>28.34</v>
      </c>
      <c r="I31" s="19" t="s">
        <v>17</v>
      </c>
      <c r="J31" s="10" t="b">
        <v>1</v>
      </c>
      <c r="N31" s="28"/>
      <c r="S31" s="22"/>
      <c r="T31" s="22"/>
      <c r="U31" s="22"/>
    </row>
    <row r="32">
      <c r="A32" s="3">
        <v>28.0</v>
      </c>
      <c r="B32" s="18" t="b">
        <v>1</v>
      </c>
      <c r="C32" s="19" t="s">
        <v>49</v>
      </c>
      <c r="D32" s="23">
        <v>3733.178</v>
      </c>
      <c r="E32" s="3">
        <v>1280.0</v>
      </c>
      <c r="F32" s="18">
        <v>972.0</v>
      </c>
      <c r="G32" s="27">
        <v>94.48</v>
      </c>
      <c r="H32" s="27">
        <v>94.48</v>
      </c>
      <c r="I32" s="19" t="s">
        <v>52</v>
      </c>
      <c r="J32" s="10" t="b">
        <v>1</v>
      </c>
      <c r="R32" s="32"/>
    </row>
    <row r="33">
      <c r="A33" s="3">
        <v>29.0</v>
      </c>
      <c r="B33" s="18" t="b">
        <v>1</v>
      </c>
      <c r="C33" s="19" t="s">
        <v>50</v>
      </c>
      <c r="D33" s="23">
        <v>4055.738</v>
      </c>
      <c r="E33" s="3">
        <v>1280.0</v>
      </c>
      <c r="F33" s="18">
        <v>1056.0</v>
      </c>
      <c r="G33" s="27">
        <v>118.11</v>
      </c>
      <c r="H33" s="27">
        <v>118.11</v>
      </c>
      <c r="I33" s="19" t="s">
        <v>22</v>
      </c>
      <c r="J33" s="10" t="b">
        <v>1</v>
      </c>
    </row>
    <row r="34">
      <c r="A34" s="3">
        <v>30.0</v>
      </c>
      <c r="B34" s="18" t="b">
        <v>1</v>
      </c>
      <c r="C34" s="19" t="s">
        <v>51</v>
      </c>
      <c r="D34" s="23">
        <v>2869.338</v>
      </c>
      <c r="E34" s="3">
        <v>1200.0</v>
      </c>
      <c r="F34" s="18">
        <v>797.0</v>
      </c>
      <c r="G34" s="27">
        <v>0.39</v>
      </c>
      <c r="H34" s="27">
        <v>0.39</v>
      </c>
      <c r="I34" s="19" t="s">
        <v>55</v>
      </c>
      <c r="J34" s="10" t="b">
        <v>1</v>
      </c>
    </row>
    <row r="35">
      <c r="A35" s="3">
        <v>31.0</v>
      </c>
      <c r="B35" s="18" t="b">
        <v>1</v>
      </c>
      <c r="C35" s="19" t="s">
        <v>53</v>
      </c>
      <c r="D35" s="23">
        <v>3686.538</v>
      </c>
      <c r="E35" s="3">
        <v>1280.0</v>
      </c>
      <c r="F35" s="18">
        <v>960.0</v>
      </c>
      <c r="G35" s="3">
        <v>28.34</v>
      </c>
      <c r="H35" s="3">
        <v>28.34</v>
      </c>
      <c r="I35" s="19" t="s">
        <v>17</v>
      </c>
      <c r="J35" s="10" t="b">
        <v>1</v>
      </c>
    </row>
    <row r="36">
      <c r="A36" s="3">
        <v>32.0</v>
      </c>
      <c r="B36" s="18" t="b">
        <v>1</v>
      </c>
      <c r="C36" s="19" t="s">
        <v>54</v>
      </c>
      <c r="D36" s="23">
        <v>3686.538</v>
      </c>
      <c r="E36" s="3">
        <v>1280.0</v>
      </c>
      <c r="F36" s="18">
        <v>960.0</v>
      </c>
      <c r="G36" s="27">
        <v>37.79</v>
      </c>
      <c r="H36" s="27">
        <v>37.79</v>
      </c>
      <c r="I36" s="19" t="s">
        <v>26</v>
      </c>
      <c r="J36" s="10" t="b">
        <v>1</v>
      </c>
    </row>
    <row r="37">
      <c r="A37" s="3">
        <v>33.0</v>
      </c>
      <c r="B37" s="18" t="b">
        <v>1</v>
      </c>
      <c r="C37" s="19" t="s">
        <v>56</v>
      </c>
      <c r="D37" s="23">
        <v>3360.698</v>
      </c>
      <c r="E37" s="3">
        <v>1280.0</v>
      </c>
      <c r="F37" s="18">
        <v>875.0</v>
      </c>
      <c r="G37" s="27">
        <v>94.48</v>
      </c>
      <c r="H37" s="27">
        <v>94.48</v>
      </c>
      <c r="I37" s="19" t="s">
        <v>52</v>
      </c>
      <c r="J37" s="10" t="b">
        <v>1</v>
      </c>
    </row>
    <row r="38">
      <c r="A38" s="3">
        <v>34.0</v>
      </c>
      <c r="B38" s="18" t="b">
        <v>1</v>
      </c>
      <c r="C38" s="19" t="s">
        <v>57</v>
      </c>
      <c r="D38" s="23">
        <v>3056.778</v>
      </c>
      <c r="E38" s="3">
        <v>1280.0</v>
      </c>
      <c r="F38" s="18">
        <v>796.0</v>
      </c>
      <c r="G38" s="3">
        <v>28.34</v>
      </c>
      <c r="H38" s="3">
        <v>28.34</v>
      </c>
      <c r="I38" s="19" t="s">
        <v>17</v>
      </c>
      <c r="J38" s="10" t="b">
        <v>1</v>
      </c>
    </row>
    <row r="39">
      <c r="A39" s="3">
        <v>35.0</v>
      </c>
      <c r="B39" s="18" t="b">
        <v>1</v>
      </c>
      <c r="C39" s="19" t="s">
        <v>58</v>
      </c>
      <c r="D39" s="23">
        <v>3317.898</v>
      </c>
      <c r="E39" s="3">
        <v>1280.0</v>
      </c>
      <c r="F39" s="18">
        <v>864.0</v>
      </c>
      <c r="G39" s="3">
        <v>28.34</v>
      </c>
      <c r="H39" s="3">
        <v>28.34</v>
      </c>
      <c r="I39" s="19" t="s">
        <v>17</v>
      </c>
      <c r="J39" s="10" t="b">
        <v>1</v>
      </c>
    </row>
    <row r="40">
      <c r="A40" s="3">
        <v>36.0</v>
      </c>
      <c r="B40" s="18" t="b">
        <v>1</v>
      </c>
      <c r="C40" s="19" t="s">
        <v>59</v>
      </c>
      <c r="D40" s="23">
        <v>3686.538</v>
      </c>
      <c r="E40" s="3">
        <v>1280.0</v>
      </c>
      <c r="F40" s="18">
        <v>960.0</v>
      </c>
      <c r="G40" s="3">
        <v>28.34</v>
      </c>
      <c r="H40" s="3">
        <v>28.34</v>
      </c>
      <c r="I40" s="19" t="s">
        <v>17</v>
      </c>
      <c r="J40" s="10" t="b">
        <v>1</v>
      </c>
    </row>
    <row r="41">
      <c r="A41" s="3">
        <v>37.0</v>
      </c>
      <c r="B41" s="18" t="b">
        <v>1</v>
      </c>
      <c r="C41" s="19" t="s">
        <v>60</v>
      </c>
      <c r="D41" s="23">
        <v>3690.938</v>
      </c>
      <c r="E41" s="3">
        <v>1280.0</v>
      </c>
      <c r="F41" s="18">
        <v>961.0</v>
      </c>
      <c r="G41" s="3">
        <v>28.34</v>
      </c>
      <c r="H41" s="3">
        <v>28.34</v>
      </c>
      <c r="I41" s="19" t="s">
        <v>17</v>
      </c>
      <c r="J41" s="10" t="b">
        <v>1</v>
      </c>
    </row>
    <row r="42">
      <c r="A42" s="3">
        <v>38.0</v>
      </c>
      <c r="B42" s="18" t="b">
        <v>1</v>
      </c>
      <c r="C42" s="19" t="s">
        <v>61</v>
      </c>
      <c r="D42" s="23">
        <v>3376.058</v>
      </c>
      <c r="E42" s="3">
        <v>1280.0</v>
      </c>
      <c r="F42" s="18">
        <v>879.0</v>
      </c>
      <c r="G42" s="27">
        <v>118.11</v>
      </c>
      <c r="H42" s="27">
        <v>118.11</v>
      </c>
      <c r="I42" s="19" t="s">
        <v>22</v>
      </c>
      <c r="J42" s="10" t="b">
        <v>1</v>
      </c>
    </row>
    <row r="43">
      <c r="A43" s="3">
        <v>39.0</v>
      </c>
      <c r="B43" s="18" t="b">
        <v>1</v>
      </c>
      <c r="C43" s="19" t="s">
        <v>62</v>
      </c>
      <c r="D43" s="23">
        <v>3221.898</v>
      </c>
      <c r="E43" s="3">
        <v>1280.0</v>
      </c>
      <c r="F43" s="18">
        <v>839.0</v>
      </c>
      <c r="G43" s="3">
        <v>28.34</v>
      </c>
      <c r="H43" s="3">
        <v>28.34</v>
      </c>
      <c r="I43" s="19" t="s">
        <v>17</v>
      </c>
      <c r="J43" s="10" t="b">
        <v>1</v>
      </c>
    </row>
    <row r="44">
      <c r="A44" s="3">
        <v>40.0</v>
      </c>
      <c r="B44" s="18" t="b">
        <v>1</v>
      </c>
      <c r="C44" s="19" t="s">
        <v>63</v>
      </c>
      <c r="D44" s="23">
        <v>3394.698</v>
      </c>
      <c r="E44" s="3">
        <v>1280.0</v>
      </c>
      <c r="F44" s="18">
        <v>884.0</v>
      </c>
      <c r="G44" s="3">
        <v>28.34</v>
      </c>
      <c r="H44" s="3">
        <v>28.34</v>
      </c>
      <c r="I44" s="19" t="s">
        <v>17</v>
      </c>
      <c r="J44" s="10" t="b">
        <v>1</v>
      </c>
    </row>
    <row r="45">
      <c r="A45" s="3">
        <v>41.0</v>
      </c>
      <c r="B45" s="18" t="b">
        <v>1</v>
      </c>
      <c r="C45" s="19" t="s">
        <v>64</v>
      </c>
      <c r="D45" s="23">
        <v>3279.498</v>
      </c>
      <c r="E45" s="3">
        <v>1280.0</v>
      </c>
      <c r="F45" s="18">
        <v>884.0</v>
      </c>
      <c r="G45" s="3">
        <v>28.34</v>
      </c>
      <c r="H45" s="3">
        <v>28.34</v>
      </c>
      <c r="I45" s="19" t="s">
        <v>17</v>
      </c>
      <c r="J45" s="10" t="b">
        <v>1</v>
      </c>
    </row>
    <row r="46">
      <c r="A46" s="3">
        <v>42.0</v>
      </c>
      <c r="B46" s="18" t="b">
        <v>1</v>
      </c>
      <c r="C46" s="19" t="s">
        <v>65</v>
      </c>
      <c r="D46" s="23">
        <v>3682.698</v>
      </c>
      <c r="E46" s="3">
        <v>1280.0</v>
      </c>
      <c r="F46" s="18">
        <v>854.0</v>
      </c>
      <c r="G46" s="3">
        <v>28.34</v>
      </c>
      <c r="H46" s="3">
        <v>28.34</v>
      </c>
      <c r="I46" s="19" t="s">
        <v>17</v>
      </c>
      <c r="J46" s="10" t="b">
        <v>1</v>
      </c>
    </row>
    <row r="47">
      <c r="A47" s="3">
        <v>43.0</v>
      </c>
      <c r="B47" s="18" t="b">
        <v>1</v>
      </c>
      <c r="C47" s="19" t="s">
        <v>66</v>
      </c>
      <c r="D47" s="23">
        <v>3278.798</v>
      </c>
      <c r="E47" s="3">
        <v>1280.0</v>
      </c>
      <c r="F47" s="18">
        <v>853.0</v>
      </c>
      <c r="G47" s="27">
        <v>29.52</v>
      </c>
      <c r="H47" s="27">
        <v>29.52</v>
      </c>
      <c r="I47" s="19" t="s">
        <v>67</v>
      </c>
      <c r="J47" s="10" t="b">
        <v>1</v>
      </c>
    </row>
    <row r="48">
      <c r="A48" s="3">
        <v>44.0</v>
      </c>
      <c r="B48" s="18" t="b">
        <v>1</v>
      </c>
      <c r="C48" s="19" t="s">
        <v>68</v>
      </c>
      <c r="D48" s="23">
        <v>3625.098</v>
      </c>
      <c r="E48" s="3">
        <v>1280.0</v>
      </c>
      <c r="F48" s="18">
        <v>944.0</v>
      </c>
      <c r="G48" s="3">
        <v>28.34</v>
      </c>
      <c r="H48" s="3">
        <v>28.34</v>
      </c>
      <c r="I48" s="19" t="s">
        <v>17</v>
      </c>
      <c r="J48" s="10" t="b">
        <v>1</v>
      </c>
    </row>
    <row r="49">
      <c r="A49" s="3">
        <v>45.0</v>
      </c>
      <c r="B49" s="18" t="b">
        <v>1</v>
      </c>
      <c r="C49" s="19" t="s">
        <v>69</v>
      </c>
      <c r="D49" s="23">
        <v>3552.698</v>
      </c>
      <c r="E49" s="3">
        <v>1280.0</v>
      </c>
      <c r="F49" s="18">
        <v>925.0</v>
      </c>
      <c r="G49" s="3">
        <v>28.34</v>
      </c>
      <c r="H49" s="3">
        <v>28.34</v>
      </c>
      <c r="I49" s="19" t="s">
        <v>17</v>
      </c>
      <c r="J49" s="10" t="b">
        <v>1</v>
      </c>
    </row>
    <row r="50">
      <c r="A50" s="3">
        <v>46.0</v>
      </c>
      <c r="B50" s="18" t="b">
        <v>1</v>
      </c>
      <c r="C50" s="19" t="s">
        <v>70</v>
      </c>
      <c r="D50" s="23">
        <v>3279.498</v>
      </c>
      <c r="E50" s="3">
        <v>1280.0</v>
      </c>
      <c r="F50" s="18">
        <v>854.0</v>
      </c>
      <c r="G50" s="3">
        <v>28.34</v>
      </c>
      <c r="H50" s="3">
        <v>28.34</v>
      </c>
      <c r="I50" s="19" t="s">
        <v>17</v>
      </c>
      <c r="J50" s="10" t="b">
        <v>1</v>
      </c>
    </row>
    <row r="51">
      <c r="A51" s="3">
        <v>47.0</v>
      </c>
      <c r="B51" s="18" t="b">
        <v>1</v>
      </c>
      <c r="C51" s="19" t="s">
        <v>71</v>
      </c>
      <c r="D51" s="23">
        <v>3686.538</v>
      </c>
      <c r="E51" s="3">
        <v>1280.0</v>
      </c>
      <c r="F51" s="18">
        <v>960.0</v>
      </c>
      <c r="G51" s="3">
        <v>28.34</v>
      </c>
      <c r="H51" s="3">
        <v>28.34</v>
      </c>
      <c r="I51" s="19" t="s">
        <v>17</v>
      </c>
      <c r="J51" s="10" t="b">
        <v>1</v>
      </c>
    </row>
    <row r="52">
      <c r="A52" s="3">
        <v>48.0</v>
      </c>
      <c r="B52" s="18" t="b">
        <v>1</v>
      </c>
      <c r="C52" s="19" t="s">
        <v>72</v>
      </c>
      <c r="D52" s="23">
        <v>3687.098</v>
      </c>
      <c r="E52" s="3">
        <v>1280.0</v>
      </c>
      <c r="F52" s="18">
        <v>960.0</v>
      </c>
      <c r="G52" s="3">
        <v>28.34</v>
      </c>
      <c r="H52" s="3">
        <v>28.34</v>
      </c>
      <c r="I52" s="19" t="s">
        <v>17</v>
      </c>
      <c r="J52" s="10" t="b">
        <v>1</v>
      </c>
    </row>
    <row r="53">
      <c r="A53" s="3">
        <v>49.0</v>
      </c>
      <c r="B53" s="18" t="b">
        <v>1</v>
      </c>
      <c r="C53" s="19" t="s">
        <v>73</v>
      </c>
      <c r="D53" s="23">
        <v>3686.538</v>
      </c>
      <c r="E53" s="3">
        <v>1280.0</v>
      </c>
      <c r="F53" s="18">
        <v>960.0</v>
      </c>
      <c r="G53" s="3">
        <v>28.34</v>
      </c>
      <c r="H53" s="3">
        <v>28.34</v>
      </c>
      <c r="I53" s="19" t="s">
        <v>17</v>
      </c>
      <c r="J53" s="10" t="b">
        <v>1</v>
      </c>
    </row>
    <row r="54">
      <c r="A54" s="3">
        <v>50.0</v>
      </c>
      <c r="B54" s="18" t="b">
        <v>1</v>
      </c>
      <c r="C54" s="19" t="s">
        <v>74</v>
      </c>
      <c r="D54" s="23">
        <v>3509.898</v>
      </c>
      <c r="E54" s="10">
        <v>1280.0</v>
      </c>
      <c r="F54" s="18">
        <v>914.0</v>
      </c>
      <c r="G54" s="3">
        <v>28.34</v>
      </c>
      <c r="H54" s="3">
        <v>28.34</v>
      </c>
      <c r="I54" s="19" t="s">
        <v>17</v>
      </c>
      <c r="J54" s="10" t="b">
        <v>1</v>
      </c>
    </row>
    <row r="55">
      <c r="B55" s="33"/>
      <c r="C55" s="34"/>
      <c r="D55" s="35"/>
      <c r="E55" s="35"/>
      <c r="F55" s="33"/>
      <c r="H55" s="33"/>
      <c r="I55" s="34"/>
    </row>
    <row r="57">
      <c r="C57" s="1"/>
      <c r="D57" s="1"/>
      <c r="E57" s="1"/>
      <c r="F57" s="1"/>
      <c r="G57" s="1"/>
      <c r="H57" s="1"/>
      <c r="I57" s="1"/>
      <c r="J57" s="1"/>
      <c r="K57" s="1"/>
    </row>
    <row r="58">
      <c r="C58" s="3" t="s">
        <v>75</v>
      </c>
      <c r="D58" s="3" t="s">
        <v>9</v>
      </c>
      <c r="E58" s="1"/>
      <c r="F58" s="3" t="s">
        <v>11</v>
      </c>
      <c r="G58" s="1"/>
      <c r="H58" s="3" t="s">
        <v>76</v>
      </c>
      <c r="I58" s="1"/>
      <c r="J58" s="1"/>
      <c r="K58" s="1"/>
    </row>
    <row r="59">
      <c r="C59" s="1"/>
      <c r="D59" s="1"/>
      <c r="E59" s="1"/>
      <c r="F59" s="1"/>
      <c r="G59" s="1"/>
      <c r="H59" s="1"/>
      <c r="I59" s="1"/>
      <c r="J59" s="1"/>
      <c r="K59" s="1"/>
    </row>
    <row r="60">
      <c r="C60" s="3" t="s">
        <v>77</v>
      </c>
      <c r="D60" s="3" t="s">
        <v>78</v>
      </c>
      <c r="E60" s="1"/>
      <c r="F60" s="3" t="s">
        <v>79</v>
      </c>
      <c r="G60" s="1"/>
      <c r="H60" s="3" t="s">
        <v>80</v>
      </c>
      <c r="I60" s="1"/>
      <c r="J60" s="1"/>
      <c r="K60" s="1"/>
    </row>
    <row r="61">
      <c r="C61" s="3" t="s">
        <v>81</v>
      </c>
      <c r="D61" s="1">
        <f>QUARTILE(D5:D54,1)</f>
        <v>3275.792</v>
      </c>
      <c r="E61" s="1"/>
      <c r="F61" s="1">
        <f>QUARTILE(F5:F54,1)</f>
        <v>853</v>
      </c>
      <c r="G61" s="1"/>
      <c r="H61" s="1">
        <f>QUARTILE(H5:H54,1)</f>
        <v>28.34</v>
      </c>
      <c r="I61" s="1"/>
      <c r="J61" s="1"/>
      <c r="K61" s="1"/>
    </row>
    <row r="62">
      <c r="C62" s="3" t="s">
        <v>82</v>
      </c>
      <c r="D62" s="1">
        <f>QUARTILE(D5:D54,3)</f>
        <v>3686.538</v>
      </c>
      <c r="E62" s="1"/>
      <c r="F62" s="1">
        <f>QUARTILE(F5:F54,3)</f>
        <v>960</v>
      </c>
      <c r="G62" s="1"/>
      <c r="H62" s="1">
        <f>QUARTILE(H5:H54,3)</f>
        <v>28.34</v>
      </c>
      <c r="I62" s="1"/>
      <c r="J62" s="1"/>
      <c r="K62" s="1"/>
    </row>
    <row r="63">
      <c r="C63" s="3" t="s">
        <v>83</v>
      </c>
      <c r="D63" s="1">
        <f>D62-D61</f>
        <v>410.746</v>
      </c>
      <c r="E63" s="1"/>
      <c r="F63" s="1">
        <f>F62-F61</f>
        <v>107</v>
      </c>
      <c r="G63" s="1"/>
      <c r="H63" s="1">
        <f>H62-H61</f>
        <v>0</v>
      </c>
      <c r="I63" s="1"/>
      <c r="J63" s="1"/>
      <c r="K63" s="1"/>
    </row>
    <row r="64">
      <c r="C64" s="3" t="s">
        <v>84</v>
      </c>
      <c r="D64" s="1">
        <f>1.5*D63</f>
        <v>616.119</v>
      </c>
      <c r="E64" s="1"/>
      <c r="F64" s="1">
        <f>1.5*F63</f>
        <v>160.5</v>
      </c>
      <c r="G64" s="1"/>
      <c r="H64" s="1">
        <f>1.5*H63</f>
        <v>0</v>
      </c>
      <c r="I64" s="1"/>
      <c r="J64" s="1"/>
      <c r="K64" s="1"/>
    </row>
    <row r="65">
      <c r="C65" s="3" t="s">
        <v>85</v>
      </c>
      <c r="D65" s="1">
        <f>D62+D64</f>
        <v>4302.657</v>
      </c>
      <c r="E65" s="1"/>
      <c r="F65" s="1">
        <f>F62+F64</f>
        <v>1120.5</v>
      </c>
      <c r="G65" s="1"/>
      <c r="H65" s="1">
        <f>H62+H64</f>
        <v>28.34</v>
      </c>
      <c r="I65" s="1"/>
      <c r="J65" s="1"/>
      <c r="K65" s="1"/>
    </row>
    <row r="66">
      <c r="C66" s="3" t="s">
        <v>86</v>
      </c>
      <c r="D66" s="1">
        <f>D61-D64</f>
        <v>2659.673</v>
      </c>
      <c r="E66" s="1"/>
      <c r="F66" s="1">
        <f>F61-F64</f>
        <v>692.5</v>
      </c>
      <c r="G66" s="1"/>
      <c r="H66" s="1">
        <f>H61-H64</f>
        <v>28.34</v>
      </c>
      <c r="I66" s="1"/>
      <c r="J66" s="1"/>
      <c r="K66" s="1"/>
    </row>
    <row r="67">
      <c r="C67" s="3" t="s">
        <v>88</v>
      </c>
      <c r="D67" s="3" t="s">
        <v>89</v>
      </c>
      <c r="E67" s="1"/>
      <c r="F67" s="3" t="s">
        <v>89</v>
      </c>
      <c r="G67" s="1"/>
      <c r="H67" s="3" t="s">
        <v>90</v>
      </c>
      <c r="I67" s="1"/>
      <c r="J67" s="1"/>
      <c r="K67" s="1"/>
    </row>
    <row r="68">
      <c r="C68" s="3" t="s">
        <v>91</v>
      </c>
      <c r="D68" s="3" t="s">
        <v>89</v>
      </c>
      <c r="E68" s="1"/>
      <c r="F68" s="3" t="s">
        <v>89</v>
      </c>
      <c r="G68" s="1"/>
      <c r="H68" s="3" t="s">
        <v>90</v>
      </c>
      <c r="I68" s="1"/>
      <c r="J68" s="1"/>
      <c r="K68" s="1"/>
    </row>
    <row r="69">
      <c r="C69" s="3" t="s">
        <v>93</v>
      </c>
      <c r="D69" s="3" t="s">
        <v>90</v>
      </c>
      <c r="E69" s="1"/>
      <c r="F69" s="3" t="s">
        <v>90</v>
      </c>
      <c r="G69" s="1"/>
      <c r="H69" s="3" t="s">
        <v>94</v>
      </c>
      <c r="I69" s="1"/>
      <c r="J69" s="1"/>
      <c r="K69" s="1"/>
    </row>
    <row r="70">
      <c r="C70" s="1"/>
      <c r="D70" s="1"/>
      <c r="E70" s="1"/>
      <c r="F70" s="1"/>
      <c r="G70" s="1"/>
      <c r="H70" s="1"/>
      <c r="I70" s="1"/>
      <c r="J70" s="1"/>
      <c r="K70" s="1"/>
    </row>
    <row r="71">
      <c r="C71" s="1"/>
      <c r="D71" s="1"/>
      <c r="E71" s="1"/>
      <c r="F71" s="1"/>
      <c r="G71" s="1"/>
      <c r="H71" s="1"/>
      <c r="I71" s="1"/>
      <c r="J71" s="1"/>
      <c r="K71" s="1"/>
    </row>
  </sheetData>
  <mergeCells count="1">
    <mergeCell ref="E3:F3"/>
  </mergeCells>
  <drawing r:id="rId1"/>
</worksheet>
</file>