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1" sheetId="1" r:id="rId5"/>
    <sheet state="visible" name="Trial 2" sheetId="2" r:id="rId6"/>
    <sheet state="visible" name="Trial 3" sheetId="3" r:id="rId7"/>
    <sheet state="visible" name="Trial 0" sheetId="4" r:id="rId8"/>
    <sheet state="visible" name="List of images used" sheetId="5" r:id="rId9"/>
    <sheet state="visible" name="Pre-conversion file details" sheetId="6" r:id="rId10"/>
    <sheet state="visible" name="Post-conversion file details" sheetId="7" r:id="rId11"/>
  </sheets>
  <definedNames/>
  <calcPr/>
</workbook>
</file>

<file path=xl/sharedStrings.xml><?xml version="1.0" encoding="utf-8"?>
<sst xmlns="http://schemas.openxmlformats.org/spreadsheetml/2006/main" count="888" uniqueCount="228">
  <si>
    <t xml:space="preserve">  </t>
  </si>
  <si>
    <t>all times are in ms</t>
  </si>
  <si>
    <t>upper outlier</t>
  </si>
  <si>
    <t>Image # (from 1 to 207)</t>
  </si>
  <si>
    <t>corresponding image names</t>
  </si>
  <si>
    <t>outlier upper bound</t>
  </si>
  <si>
    <t>number, in order</t>
  </si>
  <si>
    <t>embedding, openstego</t>
  </si>
  <si>
    <t>lower outlier</t>
  </si>
  <si>
    <t>embedding, steghide</t>
  </si>
  <si>
    <t>outlier lower bound</t>
  </si>
  <si>
    <t>verification, openstego</t>
  </si>
  <si>
    <t>verification, steghide</t>
  </si>
  <si>
    <t>cracking, stegcracker</t>
  </si>
  <si>
    <t>cracking, stegseek</t>
  </si>
  <si>
    <t>Allobates_niputidea.jpg</t>
  </si>
  <si>
    <t>Alouatta_seniculus.jpg</t>
  </si>
  <si>
    <t>Andinobates_opisthomelas.jpg</t>
  </si>
  <si>
    <t>Ara_chloropterus.jpg</t>
  </si>
  <si>
    <t>Baryphthengus_martii.jpg</t>
  </si>
  <si>
    <t>Buteogallus_meridionalis.jpg</t>
  </si>
  <si>
    <t>Camptostoma_obsoletum.jpg</t>
  </si>
  <si>
    <t>Cathartes_aura.jpg</t>
  </si>
  <si>
    <t>Ceratopipra_erythrocephala.jpg</t>
  </si>
  <si>
    <t>Chauna_chavaria.jpg</t>
  </si>
  <si>
    <t>Chloroceryle_amazona.jpg</t>
  </si>
  <si>
    <t>Cochlearius_cochlearius.jpg</t>
  </si>
  <si>
    <t>Crypturellus_soui.jpeg</t>
  </si>
  <si>
    <t>Dendrobates_truncatus.jpg</t>
  </si>
  <si>
    <t>Dendrocincla_fuliginosa.jpg</t>
  </si>
  <si>
    <t>summary statistics</t>
  </si>
  <si>
    <t>Dendrocygna_autumnalis.jpg</t>
  </si>
  <si>
    <t>embedding</t>
  </si>
  <si>
    <t>Trial</t>
  </si>
  <si>
    <t>Tool</t>
  </si>
  <si>
    <t>Total Time (ms)</t>
  </si>
  <si>
    <t>Mean Time (ms)</t>
  </si>
  <si>
    <t>Variance (ms2)</t>
  </si>
  <si>
    <t>Dendropsophus_bogerti.jpg</t>
  </si>
  <si>
    <t>Dryocopus_lineatus.jpg</t>
  </si>
  <si>
    <t>Trial 1</t>
  </si>
  <si>
    <t>OpenStego</t>
  </si>
  <si>
    <t>Elachistocleis_pearsei.jpg</t>
  </si>
  <si>
    <t>Elaenia_flavogaster.jpg</t>
  </si>
  <si>
    <t>Steghide</t>
  </si>
  <si>
    <t>Espadarana_prosoblepon.jpg</t>
  </si>
  <si>
    <t>Trial 2</t>
  </si>
  <si>
    <t>Eupsittula_pertinax.jpg</t>
  </si>
  <si>
    <t>Falco_sparverius.jpg</t>
  </si>
  <si>
    <t>Henicorhina_leucosticta.jpg</t>
  </si>
  <si>
    <t>Trial 3</t>
  </si>
  <si>
    <t>Icterus_nigrogularis.jpg</t>
  </si>
  <si>
    <t>Least_Grebe.jpg</t>
  </si>
  <si>
    <t>Leptodactylus_fragilis.jpg</t>
  </si>
  <si>
    <t>Megarynchus_pitangua.jpg</t>
  </si>
  <si>
    <t>verification</t>
  </si>
  <si>
    <t>Megascops_choliba.jpg</t>
  </si>
  <si>
    <t>Milvago_chimachima.jpg</t>
  </si>
  <si>
    <t>Mycteria_americana.jpg</t>
  </si>
  <si>
    <t>Myiodynastes_maculatus.jpg</t>
  </si>
  <si>
    <t>Myiozetetes_cayanensis.jpg</t>
  </si>
  <si>
    <t>Nannopterum_brasilianum.jpg</t>
  </si>
  <si>
    <t>Neoconocephalus_brachypterus.jpg</t>
  </si>
  <si>
    <t>Oxyprora_surinamensis.jpg</t>
  </si>
  <si>
    <t>Picumnus_olivaceus.jpg</t>
  </si>
  <si>
    <t>Poliocrania_exsul.jpeg</t>
  </si>
  <si>
    <t>Pristimantis_bogotensis.jpg</t>
  </si>
  <si>
    <t>Ragoniella_pulchella.jpeg</t>
  </si>
  <si>
    <t>Rhinella_horribilis.jpg</t>
  </si>
  <si>
    <t>cracking</t>
  </si>
  <si>
    <t>Saltator_maximus.jpg</t>
  </si>
  <si>
    <t>Stegcracker</t>
  </si>
  <si>
    <t>Scinax_ruber.jpg</t>
  </si>
  <si>
    <t>Sporophila_funerea.jpg</t>
  </si>
  <si>
    <t>Stegseek</t>
  </si>
  <si>
    <t>Sporophila_nigricollis.jpg</t>
  </si>
  <si>
    <t>Tangara_inornata.jpg</t>
  </si>
  <si>
    <t>Thraupis_episcopus.jpg</t>
  </si>
  <si>
    <t>Tolmomyias_sulphurescens.jpg</t>
  </si>
  <si>
    <t>Trachycephalus_typhonius.jpg</t>
  </si>
  <si>
    <t>Xiphorhynchus_susurrans.jpg</t>
  </si>
  <si>
    <t>total time taken by program:</t>
  </si>
  <si>
    <t>8756 ms</t>
  </si>
  <si>
    <t>803 ms</t>
  </si>
  <si>
    <t>2606 ms</t>
  </si>
  <si>
    <t>530 ms</t>
  </si>
  <si>
    <t>83429 ms</t>
  </si>
  <si>
    <t>2467 ms</t>
  </si>
  <si>
    <t>in minutes/1000000:</t>
  </si>
  <si>
    <t>145 min/10^6</t>
  </si>
  <si>
    <t>13 min/10^6</t>
  </si>
  <si>
    <t>43 min/10^6</t>
  </si>
  <si>
    <t>8 min/10^6</t>
  </si>
  <si>
    <t>1390 min/10^6</t>
  </si>
  <si>
    <t>41 min/10^6</t>
  </si>
  <si>
    <t>average time per image:</t>
  </si>
  <si>
    <t>162 ms</t>
  </si>
  <si>
    <t>15 ms</t>
  </si>
  <si>
    <t>52 ms</t>
  </si>
  <si>
    <t>9234 ms</t>
  </si>
  <si>
    <t>9 ms</t>
  </si>
  <si>
    <t>796 ms</t>
  </si>
  <si>
    <t>1669 ms</t>
  </si>
  <si>
    <t>2578 ms</t>
  </si>
  <si>
    <t>&lt;(1668.58 ms)</t>
  </si>
  <si>
    <t>546 ms</t>
  </si>
  <si>
    <t>48 ms</t>
  </si>
  <si>
    <t>(^based on time taken by program)</t>
  </si>
  <si>
    <t>82443 ms</t>
  </si>
  <si>
    <t>data range</t>
  </si>
  <si>
    <t>2526 ms</t>
  </si>
  <si>
    <t>g2:g51</t>
  </si>
  <si>
    <t>i2:i51</t>
  </si>
  <si>
    <t>k2:k51</t>
  </si>
  <si>
    <t>153 min/10^6</t>
  </si>
  <si>
    <t>m2:m51</t>
  </si>
  <si>
    <t>o2:o51</t>
  </si>
  <si>
    <t>42 min/10^6</t>
  </si>
  <si>
    <t>q2:q51</t>
  </si>
  <si>
    <t>9 min/10^6</t>
  </si>
  <si>
    <t>quartile 1</t>
  </si>
  <si>
    <t>1374 min/10^6</t>
  </si>
  <si>
    <t>171 ms</t>
  </si>
  <si>
    <t>14 ms</t>
  </si>
  <si>
    <t>51 ms</t>
  </si>
  <si>
    <t>10 ms</t>
  </si>
  <si>
    <t>1649 ms</t>
  </si>
  <si>
    <t>quartile 3</t>
  </si>
  <si>
    <t>8994 ms</t>
  </si>
  <si>
    <t>841 ms</t>
  </si>
  <si>
    <t>2468 ms</t>
  </si>
  <si>
    <t>535 ms</t>
  </si>
  <si>
    <t>82989 ms</t>
  </si>
  <si>
    <t>2466 ms</t>
  </si>
  <si>
    <t>149 min/10^6</t>
  </si>
  <si>
    <t>14 min/10^6</t>
  </si>
  <si>
    <t>1383 min/10^6</t>
  </si>
  <si>
    <t>167 ms</t>
  </si>
  <si>
    <t>49 ms</t>
  </si>
  <si>
    <t>1660 ms</t>
  </si>
  <si>
    <t>&lt;(1659.78)</t>
  </si>
  <si>
    <t>columns:</t>
  </si>
  <si>
    <t>ANOVA clearly shows that there is a statitstically significant difference between the tools.</t>
  </si>
  <si>
    <t>iqr</t>
  </si>
  <si>
    <t>rows:</t>
  </si>
  <si>
    <t>embedding: individual image properties had little to no impact on performance (p &gt; 0.05)</t>
  </si>
  <si>
    <t>1.5 * iqr</t>
  </si>
  <si>
    <t>verification: image differences were statistically significant (p &lt; 0.0001) across all trials.</t>
  </si>
  <si>
    <t>cracking: image differences appeared to be significant in trials 1 and 3, but not in trial 2</t>
  </si>
  <si>
    <t>^ this supposed difference may simply be due to chance... the image orders were different each trial</t>
  </si>
  <si>
    <t>upper outliers</t>
  </si>
  <si>
    <t>lower outliers</t>
  </si>
  <si>
    <t>Paired t-tests:</t>
  </si>
  <si>
    <t>extraction</t>
  </si>
  <si>
    <t>ANOVA tables</t>
  </si>
  <si>
    <t>9018 ms</t>
  </si>
  <si>
    <t>780 ms</t>
  </si>
  <si>
    <t>2516 ms</t>
  </si>
  <si>
    <t>566 ms</t>
  </si>
  <si>
    <t>83510 ms</t>
  </si>
  <si>
    <t>2492 ms</t>
  </si>
  <si>
    <t>150 min/10^6</t>
  </si>
  <si>
    <t>1391 min/10^6</t>
  </si>
  <si>
    <t>trial 1</t>
  </si>
  <si>
    <t>Source of variation</t>
  </si>
  <si>
    <t>sum of squares</t>
  </si>
  <si>
    <t>df</t>
  </si>
  <si>
    <t>mean square</t>
  </si>
  <si>
    <t>f-value</t>
  </si>
  <si>
    <t>p-value</t>
  </si>
  <si>
    <t>fcrit</t>
  </si>
  <si>
    <t>50 ms</t>
  </si>
  <si>
    <t>1670 ms</t>
  </si>
  <si>
    <t>columns (tools)</t>
  </si>
  <si>
    <t>&lt; 0.0001</t>
  </si>
  <si>
    <t>rows (images)</t>
  </si>
  <si>
    <t>(^if calculated it's rounded to nearest millisecond)</t>
  </si>
  <si>
    <t>error</t>
  </si>
  <si>
    <t>total</t>
  </si>
  <si>
    <t>trial 2</t>
  </si>
  <si>
    <t>trial 3</t>
  </si>
  <si>
    <t>&lt;0.0001</t>
  </si>
  <si>
    <t>Upper outlier boundary</t>
  </si>
  <si>
    <t>(for sake of DPI)</t>
  </si>
  <si>
    <t>jpeg</t>
  </si>
  <si>
    <t>Lower Outlier Boundary</t>
  </si>
  <si>
    <t>DPI outlier</t>
  </si>
  <si>
    <t>(in KB)</t>
  </si>
  <si>
    <t>image dimensions (in pixels)</t>
  </si>
  <si>
    <t>DPI (the "resolution") (in dots per inch)</t>
  </si>
  <si>
    <t>image number (of 50)</t>
  </si>
  <si>
    <t>correct spelling?</t>
  </si>
  <si>
    <t>file name</t>
  </si>
  <si>
    <t>file size</t>
  </si>
  <si>
    <t>width</t>
  </si>
  <si>
    <t>height</t>
  </si>
  <si>
    <t>x</t>
  </si>
  <si>
    <t>y</t>
  </si>
  <si>
    <t>data complete?</t>
  </si>
  <si>
    <r>
      <rPr>
        <rFont val="Arial"/>
        <b/>
        <color theme="1"/>
      </rPr>
      <t>unrounded</t>
    </r>
    <r>
      <rPr>
        <rFont val="Arial"/>
        <color theme="1"/>
      </rPr>
      <t xml:space="preserve"> DPI</t>
    </r>
  </si>
  <si>
    <t>28.339999999999999858 x 28.339999999999999858</t>
  </si>
  <si>
    <t>70.859999999999999432 x 70.859999999999999432</t>
  </si>
  <si>
    <t>118.10999999999999943 x 118.10999999999999943</t>
  </si>
  <si>
    <t>137.78999999999999204 x 137.78999999999999204</t>
  </si>
  <si>
    <t>37.789999999999999147 x 37.789999999999999147</t>
  </si>
  <si>
    <t>59.049999999999997158 x 59.049999999999997158</t>
  </si>
  <si>
    <t>SUMMARY STATISTICS</t>
  </si>
  <si>
    <t>DPI</t>
  </si>
  <si>
    <t>D5:D54</t>
  </si>
  <si>
    <t>F5:F54</t>
  </si>
  <si>
    <t>H5:H54</t>
  </si>
  <si>
    <t>94.480000000000003979 x 94.480000000000003979</t>
  </si>
  <si>
    <r>
      <rPr>
        <rFont val="Arial"/>
        <color theme="1"/>
      </rPr>
      <t xml:space="preserve">outlier </t>
    </r>
    <r>
      <rPr>
        <rFont val="Arial"/>
        <b/>
        <color theme="1"/>
      </rPr>
      <t>upper</t>
    </r>
    <r>
      <rPr>
        <rFont val="Arial"/>
        <color theme="1"/>
      </rPr>
      <t xml:space="preserve"> bound</t>
    </r>
  </si>
  <si>
    <t>0.39000000000000001332 x 0.39000000000000001332</t>
  </si>
  <si>
    <r>
      <rPr>
        <rFont val="Arial"/>
        <color theme="1"/>
      </rPr>
      <t xml:space="preserve">outlier </t>
    </r>
    <r>
      <rPr>
        <rFont val="Arial"/>
        <b/>
        <color theme="1"/>
      </rPr>
      <t>lower</t>
    </r>
    <r>
      <rPr>
        <rFont val="Arial"/>
        <color theme="1"/>
      </rPr>
      <t xml:space="preserve"> bound</t>
    </r>
  </si>
  <si>
    <r>
      <rPr>
        <rFont val="Arial"/>
        <b/>
        <color theme="1"/>
      </rPr>
      <t>lower</t>
    </r>
    <r>
      <rPr>
        <rFont val="Arial"/>
        <color theme="1"/>
      </rPr>
      <t xml:space="preserve"> outliers</t>
    </r>
  </si>
  <si>
    <t>none</t>
  </si>
  <si>
    <t>N/A</t>
  </si>
  <si>
    <r>
      <rPr>
        <rFont val="Arial"/>
        <b/>
        <color theme="1"/>
      </rPr>
      <t>upper</t>
    </r>
    <r>
      <rPr>
        <rFont val="Arial"/>
        <color theme="1"/>
      </rPr>
      <t xml:space="preserve"> outliers</t>
    </r>
  </si>
  <si>
    <t>Images 2, 14, 18, 29, 32</t>
  </si>
  <si>
    <t>(for DPI only) outliers</t>
  </si>
  <si>
    <t>Images 2, 4, 5, 6, 19, 28, 29, 32, 33, 38, 43</t>
  </si>
  <si>
    <t>29.519999999999999574 x 29.519999999999999574</t>
  </si>
  <si>
    <r>
      <rPr>
        <rFont val="Arial"/>
        <color theme="1"/>
      </rPr>
      <t xml:space="preserve">outlier </t>
    </r>
    <r>
      <rPr>
        <rFont val="Arial"/>
        <b/>
        <color theme="1"/>
      </rPr>
      <t>upper</t>
    </r>
    <r>
      <rPr>
        <rFont val="Arial"/>
        <color theme="1"/>
      </rPr>
      <t xml:space="preserve"> bound</t>
    </r>
  </si>
  <si>
    <r>
      <rPr>
        <rFont val="Arial"/>
        <color theme="1"/>
      </rPr>
      <t xml:space="preserve">outlier </t>
    </r>
    <r>
      <rPr>
        <rFont val="Arial"/>
        <b/>
        <color theme="1"/>
      </rPr>
      <t>lower</t>
    </r>
    <r>
      <rPr>
        <rFont val="Arial"/>
        <color theme="1"/>
      </rPr>
      <t xml:space="preserve"> bound</t>
    </r>
  </si>
  <si>
    <r>
      <rPr>
        <rFont val="Arial"/>
        <b/>
        <color theme="1"/>
      </rPr>
      <t>lower</t>
    </r>
    <r>
      <rPr>
        <rFont val="Arial"/>
        <color theme="1"/>
      </rPr>
      <t xml:space="preserve"> outliers</t>
    </r>
  </si>
  <si>
    <r>
      <rPr>
        <rFont val="Arial"/>
        <b/>
        <color theme="1"/>
      </rPr>
      <t>upper</t>
    </r>
    <r>
      <rPr>
        <rFont val="Arial"/>
        <color theme="1"/>
      </rPr>
      <t xml:space="preserve"> outliers</t>
    </r>
  </si>
  <si>
    <t>Images 2, 4, 5, 6, 19, 28, 29, 30, 32, 33, 38, 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</si>
</sst>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"/>
    <numFmt numFmtId="165" formatCode="0.000"/>
    <numFmt numFmtId="166" formatCode="#,##0.000"/>
    <numFmt numFmtId="167" formatCode="m, d, 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  <font>
      <i/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12">
    <border/>
    <border>
      <right style="thick">
        <color rgb="FF000000"/>
      </right>
    </border>
    <border>
      <top style="thick">
        <color rgb="FF000000"/>
      </top>
    </border>
    <border>
      <bottom style="thick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horizontal="center" readingOrder="0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2" fillId="0" fontId="1" numFmtId="0" xfId="0" applyAlignment="1" applyBorder="1" applyFont="1">
      <alignment readingOrder="0"/>
    </xf>
    <xf borderId="0" fillId="0" fontId="1" numFmtId="164" xfId="0" applyFont="1" applyNumberFormat="1"/>
    <xf borderId="0" fillId="0" fontId="1" numFmtId="4" xfId="0" applyAlignment="1" applyFont="1" applyNumberFormat="1">
      <alignment readingOrder="0"/>
    </xf>
    <xf borderId="3" fillId="0" fontId="1" numFmtId="0" xfId="0" applyBorder="1" applyFont="1"/>
    <xf borderId="0" fillId="0" fontId="2" numFmtId="0" xfId="0" applyAlignment="1" applyFont="1">
      <alignment horizontal="right" vertical="bottom"/>
    </xf>
    <xf borderId="0" fillId="3" fontId="1" numFmtId="0" xfId="0" applyFont="1"/>
    <xf borderId="0" fillId="2" fontId="1" numFmtId="0" xfId="0" applyFont="1"/>
    <xf borderId="0" fillId="4" fontId="1" numFmtId="0" xfId="0" applyFill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readingOrder="0"/>
    </xf>
    <xf borderId="4" fillId="0" fontId="3" numFmtId="0" xfId="0" applyBorder="1" applyFont="1"/>
    <xf borderId="0" fillId="0" fontId="1" numFmtId="0" xfId="0" applyAlignment="1" applyFont="1">
      <alignment readingOrder="0" shrinkToFit="0" wrapText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2" fillId="0" fontId="1" numFmtId="0" xfId="0" applyBorder="1" applyFont="1"/>
    <xf borderId="5" fillId="0" fontId="1" numFmtId="165" xfId="0" applyAlignment="1" applyBorder="1" applyFont="1" applyNumberFormat="1">
      <alignment readingOrder="0"/>
    </xf>
    <xf borderId="10" fillId="0" fontId="1" numFmtId="0" xfId="0" applyAlignment="1" applyBorder="1" applyFont="1">
      <alignment readingOrder="0"/>
    </xf>
    <xf borderId="5" fillId="3" fontId="1" numFmtId="165" xfId="0" applyAlignment="1" applyBorder="1" applyFont="1" applyNumberFormat="1">
      <alignment readingOrder="0"/>
    </xf>
    <xf borderId="0" fillId="4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4" fillId="0" fontId="1" numFmtId="0" xfId="0" applyAlignment="1" applyBorder="1" applyFont="1">
      <alignment readingOrder="0" shrinkToFit="0" wrapText="0"/>
    </xf>
    <xf borderId="0" fillId="0" fontId="1" numFmtId="0" xfId="0" applyFont="1"/>
    <xf borderId="0" fillId="0" fontId="1" numFmtId="167" xfId="0" applyFont="1" applyNumberFormat="1"/>
    <xf borderId="0" fillId="0" fontId="5" numFmtId="0" xfId="0" applyAlignment="1" applyFont="1">
      <alignment readingOrder="0"/>
    </xf>
    <xf borderId="0" fillId="0" fontId="6" numFmtId="0" xfId="0" applyFont="1"/>
    <xf borderId="5" fillId="0" fontId="1" numFmtId="166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6" fillId="0" fontId="1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4.25"/>
    <col customWidth="1" min="2" max="2" width="3.88"/>
    <col customWidth="1" min="3" max="3" width="3.13"/>
    <col customWidth="1" min="4" max="4" width="27.13"/>
  </cols>
  <sheetData>
    <row r="1">
      <c r="A1" s="1" t="s">
        <v>0</v>
      </c>
      <c r="B1" s="1"/>
      <c r="D1" s="2" t="s">
        <v>2</v>
      </c>
      <c r="E1" s="1" t="s">
        <v>5</v>
      </c>
      <c r="G1" s="1">
        <v>184.625</v>
      </c>
      <c r="I1" s="1">
        <v>30.875</v>
      </c>
      <c r="K1" s="1">
        <v>58.5</v>
      </c>
      <c r="M1" s="1">
        <v>21.371</v>
      </c>
      <c r="O1" s="1">
        <v>1707.375</v>
      </c>
      <c r="Q1" s="1">
        <v>53.5</v>
      </c>
      <c r="R1" s="1"/>
    </row>
    <row r="2">
      <c r="A2" s="1"/>
      <c r="B2" s="1"/>
      <c r="D2" s="5" t="s">
        <v>8</v>
      </c>
      <c r="E2" s="1" t="s">
        <v>10</v>
      </c>
      <c r="G2" s="1">
        <v>145.625</v>
      </c>
      <c r="I2" s="1">
        <v>-4.125</v>
      </c>
      <c r="K2" s="1">
        <v>38.5</v>
      </c>
      <c r="M2" s="1">
        <v>-1.625</v>
      </c>
      <c r="O2" s="1">
        <v>1630.375</v>
      </c>
      <c r="Q2" s="1">
        <v>41.5</v>
      </c>
      <c r="R2" s="1"/>
    </row>
    <row r="3">
      <c r="A3" s="1" t="s">
        <v>1</v>
      </c>
      <c r="B3" s="1" t="s">
        <v>3</v>
      </c>
      <c r="D3" s="1" t="s">
        <v>4</v>
      </c>
      <c r="F3" s="4" t="s">
        <v>6</v>
      </c>
      <c r="G3" s="1" t="s">
        <v>7</v>
      </c>
      <c r="H3" s="4"/>
      <c r="I3" s="1" t="s">
        <v>9</v>
      </c>
      <c r="J3" s="4"/>
      <c r="K3" s="1" t="s">
        <v>11</v>
      </c>
      <c r="L3" s="4"/>
      <c r="M3" s="1" t="s">
        <v>12</v>
      </c>
      <c r="N3" s="4"/>
      <c r="O3" s="1" t="s">
        <v>13</v>
      </c>
      <c r="P3" s="4"/>
      <c r="Q3" s="1" t="s">
        <v>14</v>
      </c>
      <c r="R3" s="4"/>
    </row>
    <row r="4">
      <c r="B4" s="1">
        <v>2.0</v>
      </c>
      <c r="C4" s="1" t="b">
        <v>1</v>
      </c>
      <c r="D4" s="1" t="s">
        <v>15</v>
      </c>
      <c r="F4" s="4">
        <v>1.0</v>
      </c>
      <c r="G4" s="1">
        <v>174.0</v>
      </c>
      <c r="H4" s="4" t="b">
        <v>1</v>
      </c>
      <c r="I4" s="1">
        <v>16.0</v>
      </c>
      <c r="J4" s="4" t="b">
        <v>1</v>
      </c>
      <c r="K4" s="1">
        <v>52.0</v>
      </c>
      <c r="L4" s="4" t="b">
        <v>1</v>
      </c>
      <c r="M4" s="1">
        <v>14.0</v>
      </c>
      <c r="N4" s="4" t="b">
        <v>1</v>
      </c>
      <c r="O4" s="1">
        <v>1655.0</v>
      </c>
      <c r="P4" s="4" t="b">
        <v>1</v>
      </c>
      <c r="Q4" s="1">
        <v>49.0</v>
      </c>
      <c r="R4" s="4" t="b">
        <v>1</v>
      </c>
    </row>
    <row r="5">
      <c r="B5" s="1">
        <v>3.0</v>
      </c>
      <c r="C5" s="1" t="b">
        <v>1</v>
      </c>
      <c r="D5" s="1" t="s">
        <v>16</v>
      </c>
      <c r="F5" s="4">
        <v>2.0</v>
      </c>
      <c r="G5" s="1">
        <v>162.0</v>
      </c>
      <c r="H5" s="4" t="b">
        <v>1</v>
      </c>
      <c r="I5" s="1">
        <v>21.0</v>
      </c>
      <c r="J5" s="4" t="b">
        <v>1</v>
      </c>
      <c r="K5" s="2">
        <v>69.0</v>
      </c>
      <c r="L5" s="4" t="b">
        <v>1</v>
      </c>
      <c r="M5" s="1">
        <v>16.0</v>
      </c>
      <c r="N5" s="4" t="b">
        <v>1</v>
      </c>
      <c r="O5" s="1">
        <v>1668.0</v>
      </c>
      <c r="P5" s="4" t="b">
        <v>1</v>
      </c>
      <c r="Q5" s="2">
        <v>57.0</v>
      </c>
      <c r="R5" s="4" t="b">
        <v>1</v>
      </c>
    </row>
    <row r="6">
      <c r="B6" s="1">
        <v>6.0</v>
      </c>
      <c r="C6" s="1" t="b">
        <v>1</v>
      </c>
      <c r="D6" s="1" t="s">
        <v>17</v>
      </c>
      <c r="F6" s="4">
        <v>3.0</v>
      </c>
      <c r="G6" s="1">
        <v>171.0</v>
      </c>
      <c r="H6" s="4" t="b">
        <v>1</v>
      </c>
      <c r="I6" s="1">
        <v>15.0</v>
      </c>
      <c r="J6" s="4" t="b">
        <v>1</v>
      </c>
      <c r="K6" s="1">
        <v>45.0</v>
      </c>
      <c r="L6" s="4" t="b">
        <v>1</v>
      </c>
      <c r="M6" s="1">
        <v>11.0</v>
      </c>
      <c r="N6" s="4" t="b">
        <v>1</v>
      </c>
      <c r="O6" s="1">
        <v>1673.0</v>
      </c>
      <c r="P6" s="4" t="b">
        <v>1</v>
      </c>
      <c r="Q6" s="1">
        <v>49.0</v>
      </c>
      <c r="R6" s="4" t="b">
        <v>1</v>
      </c>
    </row>
    <row r="7">
      <c r="B7" s="1">
        <v>9.0</v>
      </c>
      <c r="C7" s="1" t="b">
        <v>1</v>
      </c>
      <c r="D7" s="1" t="s">
        <v>18</v>
      </c>
      <c r="F7" s="4">
        <v>4.0</v>
      </c>
      <c r="G7" s="1">
        <v>170.0</v>
      </c>
      <c r="H7" s="4" t="b">
        <v>1</v>
      </c>
      <c r="I7" s="1">
        <v>16.0</v>
      </c>
      <c r="J7" s="4" t="b">
        <v>1</v>
      </c>
      <c r="K7" s="2">
        <v>63.0</v>
      </c>
      <c r="L7" s="4" t="b">
        <v>1</v>
      </c>
      <c r="M7" s="1">
        <v>10.0</v>
      </c>
      <c r="N7" s="4" t="b">
        <v>1</v>
      </c>
      <c r="O7" s="1">
        <v>1684.0</v>
      </c>
      <c r="P7" s="4" t="b">
        <v>1</v>
      </c>
      <c r="Q7" s="1">
        <v>46.0</v>
      </c>
      <c r="R7" s="4" t="b">
        <v>1</v>
      </c>
    </row>
    <row r="8">
      <c r="B8" s="1">
        <v>16.0</v>
      </c>
      <c r="C8" s="1" t="b">
        <v>1</v>
      </c>
      <c r="D8" s="1" t="s">
        <v>19</v>
      </c>
      <c r="F8" s="4">
        <v>5.0</v>
      </c>
      <c r="G8" s="1">
        <v>151.0</v>
      </c>
      <c r="H8" s="4" t="b">
        <v>1</v>
      </c>
      <c r="I8" s="1">
        <v>6.0</v>
      </c>
      <c r="J8" s="4" t="b">
        <v>1</v>
      </c>
      <c r="K8" s="1">
        <v>46.0</v>
      </c>
      <c r="L8" s="4" t="b">
        <v>1</v>
      </c>
      <c r="M8" s="1">
        <v>7.0</v>
      </c>
      <c r="N8" s="4" t="b">
        <v>1</v>
      </c>
      <c r="O8" s="1">
        <v>1646.0</v>
      </c>
      <c r="P8" s="4" t="b">
        <v>1</v>
      </c>
      <c r="Q8" s="1">
        <v>46.0</v>
      </c>
      <c r="R8" s="4" t="b">
        <v>1</v>
      </c>
    </row>
    <row r="9">
      <c r="B9" s="1">
        <v>22.0</v>
      </c>
      <c r="C9" s="1" t="b">
        <v>1</v>
      </c>
      <c r="D9" s="1" t="s">
        <v>20</v>
      </c>
      <c r="F9" s="4">
        <v>6.0</v>
      </c>
      <c r="G9" s="1">
        <v>179.0</v>
      </c>
      <c r="H9" s="4" t="b">
        <v>1</v>
      </c>
      <c r="I9" s="1">
        <v>9.0</v>
      </c>
      <c r="J9" s="4" t="b">
        <v>1</v>
      </c>
      <c r="K9" s="1">
        <v>53.0</v>
      </c>
      <c r="L9" s="4" t="b">
        <v>1</v>
      </c>
      <c r="M9" s="1">
        <v>7.0</v>
      </c>
      <c r="N9" s="4" t="b">
        <v>1</v>
      </c>
      <c r="O9" s="1">
        <v>1680.0</v>
      </c>
      <c r="P9" s="4" t="b">
        <v>1</v>
      </c>
      <c r="Q9" s="1">
        <v>46.0</v>
      </c>
      <c r="R9" s="4" t="b">
        <v>1</v>
      </c>
    </row>
    <row r="10">
      <c r="B10" s="1">
        <v>27.0</v>
      </c>
      <c r="C10" s="1" t="b">
        <v>1</v>
      </c>
      <c r="D10" s="1" t="s">
        <v>21</v>
      </c>
      <c r="F10" s="4">
        <v>7.0</v>
      </c>
      <c r="G10" s="1">
        <v>166.0</v>
      </c>
      <c r="H10" s="4" t="b">
        <v>1</v>
      </c>
      <c r="I10" s="1">
        <v>13.0</v>
      </c>
      <c r="J10" s="4" t="b">
        <v>1</v>
      </c>
      <c r="K10" s="1">
        <v>51.0</v>
      </c>
      <c r="L10" s="4" t="b">
        <v>1</v>
      </c>
      <c r="M10" s="1">
        <v>11.0</v>
      </c>
      <c r="N10" s="4" t="b">
        <v>1</v>
      </c>
      <c r="O10" s="1">
        <v>1670.0</v>
      </c>
      <c r="P10" s="4" t="b">
        <v>1</v>
      </c>
      <c r="Q10" s="1">
        <v>48.0</v>
      </c>
      <c r="R10" s="4" t="b">
        <v>1</v>
      </c>
    </row>
    <row r="11">
      <c r="B11" s="1">
        <v>31.0</v>
      </c>
      <c r="C11" s="1" t="b">
        <v>1</v>
      </c>
      <c r="D11" s="1" t="s">
        <v>22</v>
      </c>
      <c r="F11" s="4">
        <v>8.0</v>
      </c>
      <c r="G11" s="1">
        <v>155.0</v>
      </c>
      <c r="H11" s="4" t="b">
        <v>1</v>
      </c>
      <c r="I11" s="1">
        <v>8.0</v>
      </c>
      <c r="J11" s="4" t="b">
        <v>1</v>
      </c>
      <c r="K11" s="2">
        <v>66.0</v>
      </c>
      <c r="L11" s="4" t="b">
        <v>1</v>
      </c>
      <c r="M11" s="1">
        <v>5.0</v>
      </c>
      <c r="N11" s="4" t="b">
        <v>1</v>
      </c>
      <c r="O11" s="1">
        <v>1680.0</v>
      </c>
      <c r="P11" s="4" t="b">
        <v>1</v>
      </c>
      <c r="Q11" s="1">
        <v>46.0</v>
      </c>
      <c r="R11" s="4" t="b">
        <v>1</v>
      </c>
    </row>
    <row r="12">
      <c r="B12" s="1">
        <v>32.0</v>
      </c>
      <c r="C12" s="1" t="b">
        <v>1</v>
      </c>
      <c r="D12" s="1" t="s">
        <v>23</v>
      </c>
      <c r="F12" s="4">
        <v>9.0</v>
      </c>
      <c r="G12" s="1">
        <v>157.0</v>
      </c>
      <c r="H12" s="4" t="b">
        <v>1</v>
      </c>
      <c r="I12" s="1">
        <v>15.0</v>
      </c>
      <c r="J12" s="4" t="b">
        <v>1</v>
      </c>
      <c r="K12" s="1">
        <v>47.0</v>
      </c>
      <c r="L12" s="4" t="b">
        <v>1</v>
      </c>
      <c r="M12" s="1">
        <v>11.0</v>
      </c>
      <c r="N12" s="4" t="b">
        <v>1</v>
      </c>
      <c r="O12" s="1">
        <v>1668.0</v>
      </c>
      <c r="P12" s="4" t="b">
        <v>1</v>
      </c>
      <c r="Q12" s="1">
        <v>49.0</v>
      </c>
      <c r="R12" s="4" t="b">
        <v>1</v>
      </c>
    </row>
    <row r="13">
      <c r="B13" s="1">
        <v>35.0</v>
      </c>
      <c r="C13" s="1" t="b">
        <v>1</v>
      </c>
      <c r="D13" s="1" t="s">
        <v>24</v>
      </c>
      <c r="F13" s="4">
        <v>10.0</v>
      </c>
      <c r="G13" s="1">
        <v>159.0</v>
      </c>
      <c r="H13" s="4" t="b">
        <v>1</v>
      </c>
      <c r="I13" s="1">
        <v>8.0</v>
      </c>
      <c r="J13" s="4" t="b">
        <v>1</v>
      </c>
      <c r="K13" s="1">
        <v>45.0</v>
      </c>
      <c r="L13" s="4" t="b">
        <v>1</v>
      </c>
      <c r="M13" s="1">
        <v>6.0</v>
      </c>
      <c r="N13" s="4" t="b">
        <v>1</v>
      </c>
      <c r="O13" s="1">
        <v>1680.0</v>
      </c>
      <c r="P13" s="4" t="b">
        <v>1</v>
      </c>
      <c r="Q13" s="1">
        <v>48.0</v>
      </c>
      <c r="R13" s="4" t="b">
        <v>1</v>
      </c>
    </row>
    <row r="14">
      <c r="B14" s="1">
        <v>37.0</v>
      </c>
      <c r="C14" s="1" t="b">
        <v>1</v>
      </c>
      <c r="D14" s="1" t="s">
        <v>25</v>
      </c>
      <c r="F14" s="4">
        <v>11.0</v>
      </c>
      <c r="G14" s="1">
        <v>160.0</v>
      </c>
      <c r="H14" s="4" t="b">
        <v>1</v>
      </c>
      <c r="I14" s="1">
        <v>9.0</v>
      </c>
      <c r="J14" s="4" t="b">
        <v>1</v>
      </c>
      <c r="K14" s="1">
        <v>47.0</v>
      </c>
      <c r="L14" s="4" t="b">
        <v>1</v>
      </c>
      <c r="M14" s="1">
        <v>5.0</v>
      </c>
      <c r="N14" s="4" t="b">
        <v>1</v>
      </c>
      <c r="O14" s="1">
        <v>1655.0</v>
      </c>
      <c r="P14" s="4" t="b">
        <v>1</v>
      </c>
      <c r="Q14" s="1">
        <v>45.0</v>
      </c>
      <c r="R14" s="4" t="b">
        <v>1</v>
      </c>
    </row>
    <row r="15">
      <c r="B15" s="1">
        <v>43.0</v>
      </c>
      <c r="C15" s="1" t="b">
        <v>1</v>
      </c>
      <c r="D15" s="1" t="s">
        <v>26</v>
      </c>
      <c r="F15" s="4">
        <v>12.0</v>
      </c>
      <c r="G15" s="1">
        <v>170.0</v>
      </c>
      <c r="H15" s="4" t="b">
        <v>1</v>
      </c>
      <c r="I15" s="1">
        <v>12.0</v>
      </c>
      <c r="J15" s="4" t="b">
        <v>1</v>
      </c>
      <c r="K15" s="1">
        <v>58.0</v>
      </c>
      <c r="L15" s="4" t="b">
        <v>1</v>
      </c>
      <c r="M15" s="1">
        <v>11.0</v>
      </c>
      <c r="N15" s="4" t="b">
        <v>1</v>
      </c>
      <c r="O15" s="1">
        <v>1682.0</v>
      </c>
      <c r="P15" s="4" t="b">
        <v>1</v>
      </c>
      <c r="Q15" s="1">
        <v>47.0</v>
      </c>
      <c r="R15" s="4" t="b">
        <v>1</v>
      </c>
      <c r="T15" s="1" t="s">
        <v>30</v>
      </c>
    </row>
    <row r="16">
      <c r="B16" s="1">
        <v>57.0</v>
      </c>
      <c r="C16" s="1" t="b">
        <v>1</v>
      </c>
      <c r="D16" s="1" t="s">
        <v>27</v>
      </c>
      <c r="F16" s="4">
        <v>13.0</v>
      </c>
      <c r="G16" s="1">
        <v>173.0</v>
      </c>
      <c r="H16" s="4" t="b">
        <v>1</v>
      </c>
      <c r="I16" s="1">
        <v>18.0</v>
      </c>
      <c r="J16" s="4" t="b">
        <v>1</v>
      </c>
      <c r="K16" s="2">
        <v>59.0</v>
      </c>
      <c r="L16" s="4" t="b">
        <v>1</v>
      </c>
      <c r="M16" s="1">
        <v>9.0</v>
      </c>
      <c r="N16" s="4" t="b">
        <v>1</v>
      </c>
      <c r="O16" s="1">
        <v>1679.0</v>
      </c>
      <c r="P16" s="4" t="b">
        <v>1</v>
      </c>
      <c r="Q16" s="1">
        <v>49.0</v>
      </c>
      <c r="R16" s="4" t="b">
        <v>1</v>
      </c>
      <c r="T16" s="1" t="s">
        <v>32</v>
      </c>
      <c r="U16" s="9" t="s">
        <v>33</v>
      </c>
      <c r="V16" s="9" t="s">
        <v>34</v>
      </c>
      <c r="W16" s="9" t="s">
        <v>35</v>
      </c>
      <c r="X16" s="9" t="s">
        <v>36</v>
      </c>
      <c r="Y16" s="9" t="s">
        <v>37</v>
      </c>
    </row>
    <row r="17">
      <c r="B17" s="1">
        <v>60.0</v>
      </c>
      <c r="C17" s="1" t="b">
        <v>1</v>
      </c>
      <c r="D17" s="1" t="s">
        <v>28</v>
      </c>
      <c r="F17" s="4">
        <v>14.0</v>
      </c>
      <c r="G17" s="1">
        <v>167.0</v>
      </c>
      <c r="H17" s="4" t="b">
        <v>1</v>
      </c>
      <c r="I17" s="1">
        <v>30.0</v>
      </c>
      <c r="J17" s="4" t="b">
        <v>1</v>
      </c>
      <c r="K17" s="1">
        <v>49.0</v>
      </c>
      <c r="L17" s="4" t="b">
        <v>1</v>
      </c>
      <c r="M17" s="1">
        <v>18.0</v>
      </c>
      <c r="N17" s="4" t="b">
        <v>1</v>
      </c>
      <c r="O17" s="1">
        <v>1663.0</v>
      </c>
      <c r="P17" s="4" t="b">
        <v>1</v>
      </c>
      <c r="Q17" s="2">
        <v>55.0</v>
      </c>
      <c r="R17" s="4" t="b">
        <v>1</v>
      </c>
      <c r="U17" s="9" t="s">
        <v>40</v>
      </c>
      <c r="V17" s="9" t="s">
        <v>41</v>
      </c>
      <c r="W17" s="10">
        <v>9018.0</v>
      </c>
      <c r="X17" s="10">
        <v>180.36</v>
      </c>
      <c r="Y17" s="10">
        <v>283.42</v>
      </c>
    </row>
    <row r="18">
      <c r="B18" s="1">
        <v>61.0</v>
      </c>
      <c r="C18" s="1" t="b">
        <v>1</v>
      </c>
      <c r="D18" s="1" t="s">
        <v>29</v>
      </c>
      <c r="F18" s="4">
        <v>15.0</v>
      </c>
      <c r="G18" s="1">
        <v>159.0</v>
      </c>
      <c r="H18" s="4" t="b">
        <v>1</v>
      </c>
      <c r="I18" s="1">
        <v>8.0</v>
      </c>
      <c r="J18" s="4" t="b">
        <v>1</v>
      </c>
      <c r="K18" s="1">
        <v>46.0</v>
      </c>
      <c r="L18" s="4" t="b">
        <v>1</v>
      </c>
      <c r="M18" s="1">
        <v>7.0</v>
      </c>
      <c r="N18" s="4" t="b">
        <v>1</v>
      </c>
      <c r="O18" s="1">
        <v>1684.0</v>
      </c>
      <c r="P18" s="4" t="b">
        <v>1</v>
      </c>
      <c r="Q18" s="1">
        <v>47.0</v>
      </c>
      <c r="R18" s="4" t="b">
        <v>1</v>
      </c>
      <c r="U18" s="9"/>
      <c r="V18" s="9" t="s">
        <v>44</v>
      </c>
      <c r="W18" s="10">
        <v>780.0</v>
      </c>
      <c r="X18" s="10">
        <v>15.6</v>
      </c>
      <c r="Y18" s="10">
        <v>44.24</v>
      </c>
    </row>
    <row r="19">
      <c r="B19" s="1">
        <v>62.0</v>
      </c>
      <c r="C19" s="1" t="b">
        <v>1</v>
      </c>
      <c r="D19" s="1" t="s">
        <v>31</v>
      </c>
      <c r="F19" s="4">
        <v>16.0</v>
      </c>
      <c r="G19" s="1">
        <v>163.0</v>
      </c>
      <c r="H19" s="4" t="b">
        <v>1</v>
      </c>
      <c r="I19" s="1">
        <v>9.0</v>
      </c>
      <c r="J19" s="4" t="b">
        <v>1</v>
      </c>
      <c r="K19" s="1">
        <v>45.0</v>
      </c>
      <c r="L19" s="4" t="b">
        <v>1</v>
      </c>
      <c r="M19" s="1">
        <v>7.0</v>
      </c>
      <c r="N19" s="4" t="b">
        <v>1</v>
      </c>
      <c r="O19" s="1">
        <v>1685.0</v>
      </c>
      <c r="P19" s="4" t="b">
        <v>1</v>
      </c>
      <c r="Q19" s="1">
        <v>46.0</v>
      </c>
      <c r="R19" s="4" t="b">
        <v>1</v>
      </c>
      <c r="U19" s="9" t="s">
        <v>46</v>
      </c>
      <c r="V19" s="9" t="s">
        <v>41</v>
      </c>
      <c r="W19" s="10">
        <v>8994.0</v>
      </c>
      <c r="X19" s="10">
        <v>179.88</v>
      </c>
      <c r="Y19" s="10">
        <v>277.94</v>
      </c>
    </row>
    <row r="20">
      <c r="B20" s="1">
        <v>64.0</v>
      </c>
      <c r="C20" s="1" t="b">
        <v>1</v>
      </c>
      <c r="D20" s="1" t="s">
        <v>38</v>
      </c>
      <c r="F20" s="4">
        <v>17.0</v>
      </c>
      <c r="G20" s="1">
        <v>160.0</v>
      </c>
      <c r="H20" s="4" t="b">
        <v>1</v>
      </c>
      <c r="I20" s="1">
        <v>10.0</v>
      </c>
      <c r="J20" s="4" t="b">
        <v>1</v>
      </c>
      <c r="K20" s="1">
        <v>51.0</v>
      </c>
      <c r="L20" s="4" t="b">
        <v>1</v>
      </c>
      <c r="M20" s="1">
        <v>12.0</v>
      </c>
      <c r="N20" s="4" t="b">
        <v>1</v>
      </c>
      <c r="O20" s="1">
        <v>1654.0</v>
      </c>
      <c r="P20" s="4" t="b">
        <v>1</v>
      </c>
      <c r="Q20" s="1">
        <v>47.0</v>
      </c>
      <c r="R20" s="4" t="b">
        <v>1</v>
      </c>
      <c r="U20" s="9"/>
      <c r="V20" s="9" t="s">
        <v>44</v>
      </c>
      <c r="W20" s="10">
        <v>841.0</v>
      </c>
      <c r="X20" s="10">
        <v>16.82</v>
      </c>
      <c r="Y20" s="10">
        <v>43.7</v>
      </c>
    </row>
    <row r="21">
      <c r="B21" s="1">
        <v>71.0</v>
      </c>
      <c r="C21" s="1" t="b">
        <v>1</v>
      </c>
      <c r="D21" s="1" t="s">
        <v>39</v>
      </c>
      <c r="F21" s="4">
        <v>18.0</v>
      </c>
      <c r="G21" s="1">
        <v>166.0</v>
      </c>
      <c r="H21" s="4" t="b">
        <v>1</v>
      </c>
      <c r="I21" s="1">
        <v>26.0</v>
      </c>
      <c r="J21" s="4" t="b">
        <v>1</v>
      </c>
      <c r="K21" s="1">
        <v>47.0</v>
      </c>
      <c r="L21" s="4" t="b">
        <v>1</v>
      </c>
      <c r="M21" s="1">
        <v>17.0</v>
      </c>
      <c r="N21" s="4" t="b">
        <v>1</v>
      </c>
      <c r="O21" s="1">
        <v>1673.0</v>
      </c>
      <c r="P21" s="4" t="b">
        <v>1</v>
      </c>
      <c r="Q21" s="1">
        <v>53.0</v>
      </c>
      <c r="R21" s="4" t="b">
        <v>1</v>
      </c>
      <c r="U21" s="9" t="s">
        <v>50</v>
      </c>
      <c r="V21" s="9" t="s">
        <v>41</v>
      </c>
      <c r="W21" s="10">
        <v>8756.0</v>
      </c>
      <c r="X21" s="10">
        <v>175.12</v>
      </c>
      <c r="Y21" s="10">
        <v>536.23</v>
      </c>
    </row>
    <row r="22">
      <c r="B22" s="1">
        <v>74.0</v>
      </c>
      <c r="C22" s="1" t="b">
        <v>1</v>
      </c>
      <c r="D22" s="1" t="s">
        <v>42</v>
      </c>
      <c r="F22" s="4">
        <v>19.0</v>
      </c>
      <c r="G22" s="2">
        <v>261.0</v>
      </c>
      <c r="H22" s="4" t="b">
        <v>1</v>
      </c>
      <c r="I22" s="1">
        <v>19.0</v>
      </c>
      <c r="J22" s="4" t="b">
        <v>1</v>
      </c>
      <c r="K22" s="1">
        <v>47.0</v>
      </c>
      <c r="L22" s="4" t="b">
        <v>1</v>
      </c>
      <c r="M22" s="1">
        <v>13.0</v>
      </c>
      <c r="N22" s="4" t="b">
        <v>1</v>
      </c>
      <c r="O22" s="1">
        <v>1672.0</v>
      </c>
      <c r="P22" s="4" t="b">
        <v>1</v>
      </c>
      <c r="Q22" s="1">
        <v>48.0</v>
      </c>
      <c r="R22" s="4" t="b">
        <v>1</v>
      </c>
      <c r="U22" s="9"/>
      <c r="V22" s="9" t="s">
        <v>44</v>
      </c>
      <c r="W22" s="10">
        <v>803.0</v>
      </c>
      <c r="X22" s="10">
        <v>16.06</v>
      </c>
      <c r="Y22" s="10">
        <v>36.34</v>
      </c>
    </row>
    <row r="23">
      <c r="B23" s="1">
        <v>75.0</v>
      </c>
      <c r="C23" s="1" t="b">
        <v>1</v>
      </c>
      <c r="D23" s="1" t="s">
        <v>43</v>
      </c>
      <c r="F23" s="4">
        <v>20.0</v>
      </c>
      <c r="G23" s="1">
        <v>151.0</v>
      </c>
      <c r="H23" s="4" t="b">
        <v>1</v>
      </c>
      <c r="I23" s="1">
        <v>9.0</v>
      </c>
      <c r="J23" s="4" t="b">
        <v>1</v>
      </c>
      <c r="K23" s="1">
        <v>54.0</v>
      </c>
      <c r="L23" s="4" t="b">
        <v>1</v>
      </c>
      <c r="M23" s="1">
        <v>5.0</v>
      </c>
      <c r="N23" s="4" t="b">
        <v>1</v>
      </c>
      <c r="O23" s="1">
        <v>1657.0</v>
      </c>
      <c r="P23" s="4" t="b">
        <v>1</v>
      </c>
      <c r="Q23" s="1">
        <v>46.0</v>
      </c>
      <c r="R23" s="4" t="b">
        <v>1</v>
      </c>
    </row>
    <row r="24">
      <c r="B24" s="1">
        <v>79.0</v>
      </c>
      <c r="C24" s="1" t="b">
        <v>1</v>
      </c>
      <c r="D24" s="1" t="s">
        <v>45</v>
      </c>
      <c r="F24" s="4">
        <v>21.0</v>
      </c>
      <c r="G24" s="1">
        <v>159.0</v>
      </c>
      <c r="H24" s="4" t="b">
        <v>1</v>
      </c>
      <c r="I24" s="1">
        <v>13.0</v>
      </c>
      <c r="J24" s="4" t="b">
        <v>1</v>
      </c>
      <c r="K24" s="1">
        <v>44.0</v>
      </c>
      <c r="L24" s="4" t="b">
        <v>1</v>
      </c>
      <c r="M24" s="1">
        <v>10.0</v>
      </c>
      <c r="N24" s="4" t="b">
        <v>1</v>
      </c>
      <c r="O24" s="1">
        <v>1667.0</v>
      </c>
      <c r="P24" s="4" t="b">
        <v>1</v>
      </c>
      <c r="Q24" s="1">
        <v>47.0</v>
      </c>
      <c r="R24" s="4" t="b">
        <v>1</v>
      </c>
      <c r="T24" s="1" t="s">
        <v>55</v>
      </c>
      <c r="U24" s="9" t="s">
        <v>33</v>
      </c>
      <c r="V24" s="9" t="s">
        <v>34</v>
      </c>
      <c r="W24" s="9" t="s">
        <v>35</v>
      </c>
      <c r="X24" s="9" t="s">
        <v>36</v>
      </c>
      <c r="Y24" s="9" t="s">
        <v>37</v>
      </c>
    </row>
    <row r="25">
      <c r="B25" s="1">
        <v>81.0</v>
      </c>
      <c r="C25" s="1" t="b">
        <v>1</v>
      </c>
      <c r="D25" s="1" t="s">
        <v>47</v>
      </c>
      <c r="F25" s="4">
        <v>22.0</v>
      </c>
      <c r="G25" s="1">
        <v>168.0</v>
      </c>
      <c r="H25" s="4" t="b">
        <v>1</v>
      </c>
      <c r="I25" s="1">
        <v>8.0</v>
      </c>
      <c r="J25" s="4" t="b">
        <v>1</v>
      </c>
      <c r="K25" s="1">
        <v>45.0</v>
      </c>
      <c r="L25" s="4" t="b">
        <v>1</v>
      </c>
      <c r="M25" s="1">
        <v>5.0</v>
      </c>
      <c r="N25" s="4" t="b">
        <v>1</v>
      </c>
      <c r="O25" s="1">
        <v>1683.0</v>
      </c>
      <c r="P25" s="4" t="b">
        <v>1</v>
      </c>
      <c r="Q25" s="1">
        <v>45.0</v>
      </c>
      <c r="R25" s="4" t="b">
        <v>1</v>
      </c>
      <c r="U25" s="9" t="s">
        <v>40</v>
      </c>
      <c r="V25" s="9" t="s">
        <v>41</v>
      </c>
      <c r="W25" s="11">
        <v>2516.0</v>
      </c>
      <c r="X25" s="10">
        <v>50.32</v>
      </c>
      <c r="Y25" s="10">
        <v>30.75</v>
      </c>
    </row>
    <row r="26">
      <c r="B26" s="1">
        <v>82.0</v>
      </c>
      <c r="C26" s="1" t="b">
        <v>1</v>
      </c>
      <c r="D26" s="1" t="s">
        <v>48</v>
      </c>
      <c r="F26" s="4">
        <v>23.0</v>
      </c>
      <c r="G26" s="1">
        <v>161.0</v>
      </c>
      <c r="H26" s="4" t="b">
        <v>1</v>
      </c>
      <c r="I26" s="1">
        <v>9.0</v>
      </c>
      <c r="J26" s="4" t="b">
        <v>1</v>
      </c>
      <c r="K26" s="1">
        <v>51.0</v>
      </c>
      <c r="L26" s="4" t="b">
        <v>1</v>
      </c>
      <c r="M26" s="1">
        <v>4.0</v>
      </c>
      <c r="N26" s="4" t="b">
        <v>1</v>
      </c>
      <c r="O26" s="1">
        <v>1658.0</v>
      </c>
      <c r="P26" s="4" t="b">
        <v>1</v>
      </c>
      <c r="Q26" s="1">
        <v>45.0</v>
      </c>
      <c r="R26" s="4" t="b">
        <v>1</v>
      </c>
      <c r="U26" s="9"/>
      <c r="V26" s="9" t="s">
        <v>44</v>
      </c>
      <c r="W26" s="10">
        <v>566.0</v>
      </c>
      <c r="X26" s="10">
        <v>11.32</v>
      </c>
      <c r="Y26" s="10">
        <v>19.32</v>
      </c>
    </row>
    <row r="27">
      <c r="B27" s="1">
        <v>89.0</v>
      </c>
      <c r="C27" s="1" t="b">
        <v>1</v>
      </c>
      <c r="D27" s="1" t="s">
        <v>49</v>
      </c>
      <c r="F27" s="4">
        <v>24.0</v>
      </c>
      <c r="G27" s="1">
        <v>163.0</v>
      </c>
      <c r="H27" s="4" t="b">
        <v>1</v>
      </c>
      <c r="I27" s="1">
        <v>10.0</v>
      </c>
      <c r="J27" s="4" t="b">
        <v>1</v>
      </c>
      <c r="K27" s="1">
        <v>52.0</v>
      </c>
      <c r="L27" s="4" t="b">
        <v>1</v>
      </c>
      <c r="M27" s="1">
        <v>9.0</v>
      </c>
      <c r="N27" s="4" t="b">
        <v>1</v>
      </c>
      <c r="O27" s="1">
        <v>1669.0</v>
      </c>
      <c r="P27" s="4" t="b">
        <v>1</v>
      </c>
      <c r="Q27" s="1">
        <v>46.0</v>
      </c>
      <c r="R27" s="4" t="b">
        <v>1</v>
      </c>
      <c r="U27" s="9" t="s">
        <v>46</v>
      </c>
      <c r="V27" s="9" t="s">
        <v>41</v>
      </c>
      <c r="W27" s="10">
        <v>2468.0</v>
      </c>
      <c r="X27" s="10">
        <v>49.36</v>
      </c>
      <c r="Y27" s="10">
        <v>32.89</v>
      </c>
    </row>
    <row r="28">
      <c r="B28" s="1">
        <v>93.0</v>
      </c>
      <c r="C28" s="1" t="b">
        <v>1</v>
      </c>
      <c r="D28" s="1" t="s">
        <v>51</v>
      </c>
      <c r="F28" s="4">
        <v>25.0</v>
      </c>
      <c r="G28" s="1">
        <v>178.0</v>
      </c>
      <c r="H28" s="4" t="b">
        <v>1</v>
      </c>
      <c r="I28" s="1">
        <v>19.0</v>
      </c>
      <c r="J28" s="4" t="b">
        <v>1</v>
      </c>
      <c r="K28" s="1">
        <v>50.0</v>
      </c>
      <c r="L28" s="4" t="b">
        <v>1</v>
      </c>
      <c r="M28" s="1">
        <v>13.0</v>
      </c>
      <c r="N28" s="4" t="b">
        <v>1</v>
      </c>
      <c r="O28" s="1">
        <v>1665.0</v>
      </c>
      <c r="P28" s="4" t="b">
        <v>1</v>
      </c>
      <c r="Q28" s="1">
        <v>52.0</v>
      </c>
      <c r="R28" s="4" t="b">
        <v>1</v>
      </c>
      <c r="U28" s="9"/>
      <c r="V28" s="9" t="s">
        <v>44</v>
      </c>
      <c r="W28" s="10">
        <v>535.0</v>
      </c>
      <c r="X28" s="10">
        <v>10.7</v>
      </c>
      <c r="Y28" s="10">
        <v>18.26</v>
      </c>
    </row>
    <row r="29">
      <c r="B29" s="1">
        <v>96.0</v>
      </c>
      <c r="C29" s="1" t="b">
        <v>1</v>
      </c>
      <c r="D29" s="1" t="s">
        <v>52</v>
      </c>
      <c r="F29" s="4">
        <v>26.0</v>
      </c>
      <c r="G29" s="1">
        <v>164.0</v>
      </c>
      <c r="H29" s="4" t="b">
        <v>1</v>
      </c>
      <c r="I29" s="1">
        <v>7.0</v>
      </c>
      <c r="J29" s="4" t="b">
        <v>1</v>
      </c>
      <c r="K29" s="1">
        <v>50.0</v>
      </c>
      <c r="L29" s="4" t="b">
        <v>1</v>
      </c>
      <c r="M29" s="1">
        <v>8.0</v>
      </c>
      <c r="N29" s="4" t="b">
        <v>1</v>
      </c>
      <c r="O29" s="1">
        <v>1656.0</v>
      </c>
      <c r="P29" s="4" t="b">
        <v>1</v>
      </c>
      <c r="Q29" s="1">
        <v>47.0</v>
      </c>
      <c r="R29" s="4" t="b">
        <v>1</v>
      </c>
      <c r="U29" s="9" t="s">
        <v>50</v>
      </c>
      <c r="V29" s="9" t="s">
        <v>41</v>
      </c>
      <c r="W29" s="10">
        <v>2606.0</v>
      </c>
      <c r="X29" s="10">
        <v>52.12</v>
      </c>
      <c r="Y29" s="10">
        <v>28.6</v>
      </c>
    </row>
    <row r="30">
      <c r="B30" s="1">
        <v>100.0</v>
      </c>
      <c r="C30" s="1" t="b">
        <v>1</v>
      </c>
      <c r="D30" s="1" t="s">
        <v>53</v>
      </c>
      <c r="F30" s="4">
        <v>27.0</v>
      </c>
      <c r="G30" s="1">
        <v>166.0</v>
      </c>
      <c r="H30" s="4" t="b">
        <v>1</v>
      </c>
      <c r="I30" s="1">
        <v>15.0</v>
      </c>
      <c r="J30" s="4" t="b">
        <v>1</v>
      </c>
      <c r="K30" s="1">
        <v>47.0</v>
      </c>
      <c r="L30" s="4" t="b">
        <v>1</v>
      </c>
      <c r="M30" s="1">
        <v>12.0</v>
      </c>
      <c r="N30" s="4" t="b">
        <v>1</v>
      </c>
      <c r="O30" s="1">
        <v>1674.0</v>
      </c>
      <c r="P30" s="4" t="b">
        <v>1</v>
      </c>
      <c r="Q30" s="1">
        <v>48.0</v>
      </c>
      <c r="R30" s="4" t="b">
        <v>1</v>
      </c>
      <c r="U30" s="9"/>
      <c r="V30" s="9" t="s">
        <v>44</v>
      </c>
      <c r="W30" s="10">
        <v>530.0</v>
      </c>
      <c r="X30" s="10">
        <v>10.6</v>
      </c>
      <c r="Y30" s="10">
        <v>18.2</v>
      </c>
    </row>
    <row r="31">
      <c r="B31" s="1">
        <v>111.0</v>
      </c>
      <c r="C31" s="1" t="b">
        <v>1</v>
      </c>
      <c r="D31" s="1" t="s">
        <v>54</v>
      </c>
      <c r="F31" s="4">
        <v>28.0</v>
      </c>
      <c r="G31" s="1">
        <v>166.0</v>
      </c>
      <c r="H31" s="4" t="b">
        <v>1</v>
      </c>
      <c r="I31" s="1">
        <v>14.0</v>
      </c>
      <c r="J31" s="4" t="b">
        <v>1</v>
      </c>
      <c r="K31" s="2">
        <v>62.0</v>
      </c>
      <c r="L31" s="4" t="b">
        <v>1</v>
      </c>
      <c r="M31" s="1">
        <v>9.0</v>
      </c>
      <c r="N31" s="4" t="b">
        <v>1</v>
      </c>
      <c r="O31" s="1">
        <v>1654.0</v>
      </c>
      <c r="P31" s="4" t="b">
        <v>1</v>
      </c>
      <c r="Q31" s="1">
        <v>48.0</v>
      </c>
      <c r="R31" s="4" t="b">
        <v>1</v>
      </c>
    </row>
    <row r="32">
      <c r="B32" s="1">
        <v>112.0</v>
      </c>
      <c r="C32" s="1" t="b">
        <v>1</v>
      </c>
      <c r="D32" s="1" t="s">
        <v>56</v>
      </c>
      <c r="F32" s="4">
        <v>29.0</v>
      </c>
      <c r="G32" s="1">
        <v>170.0</v>
      </c>
      <c r="H32" s="4" t="b">
        <v>1</v>
      </c>
      <c r="I32" s="2">
        <v>31.0</v>
      </c>
      <c r="J32" s="4" t="b">
        <v>1</v>
      </c>
      <c r="K32" s="1">
        <v>50.0</v>
      </c>
      <c r="L32" s="4" t="b">
        <v>1</v>
      </c>
      <c r="M32" s="2">
        <v>25.0</v>
      </c>
      <c r="N32" s="4" t="b">
        <v>1</v>
      </c>
      <c r="O32" s="1">
        <v>1675.0</v>
      </c>
      <c r="P32" s="4" t="b">
        <v>1</v>
      </c>
      <c r="Q32" s="2">
        <v>63.0</v>
      </c>
      <c r="R32" s="4" t="b">
        <v>1</v>
      </c>
      <c r="T32" s="1" t="s">
        <v>69</v>
      </c>
      <c r="U32" s="9" t="s">
        <v>33</v>
      </c>
      <c r="V32" s="9" t="s">
        <v>34</v>
      </c>
      <c r="W32" s="9" t="s">
        <v>35</v>
      </c>
      <c r="X32" s="9" t="s">
        <v>36</v>
      </c>
      <c r="Y32" s="9" t="s">
        <v>37</v>
      </c>
    </row>
    <row r="33">
      <c r="B33" s="1">
        <v>115.0</v>
      </c>
      <c r="C33" s="1" t="b">
        <v>1</v>
      </c>
      <c r="D33" s="1" t="s">
        <v>57</v>
      </c>
      <c r="F33" s="4">
        <v>30.0</v>
      </c>
      <c r="G33" s="1">
        <v>150.0</v>
      </c>
      <c r="H33" s="4" t="b">
        <v>1</v>
      </c>
      <c r="I33" s="1">
        <v>7.0</v>
      </c>
      <c r="J33" s="4" t="b">
        <v>1</v>
      </c>
      <c r="K33" s="1">
        <v>49.0</v>
      </c>
      <c r="L33" s="4" t="b">
        <v>1</v>
      </c>
      <c r="M33" s="1">
        <v>4.0</v>
      </c>
      <c r="N33" s="4" t="b">
        <v>1</v>
      </c>
      <c r="O33" s="1">
        <v>1662.0</v>
      </c>
      <c r="P33" s="4" t="b">
        <v>1</v>
      </c>
      <c r="Q33" s="1">
        <v>45.0</v>
      </c>
      <c r="R33" s="4" t="b">
        <v>1</v>
      </c>
      <c r="U33" s="9" t="s">
        <v>40</v>
      </c>
      <c r="V33" s="12" t="s">
        <v>71</v>
      </c>
      <c r="W33" s="10">
        <v>83510.0</v>
      </c>
      <c r="X33" s="10">
        <v>1670.2</v>
      </c>
      <c r="Y33" s="10">
        <v>136.33</v>
      </c>
    </row>
    <row r="34">
      <c r="B34" s="1">
        <v>117.0</v>
      </c>
      <c r="C34" s="1" t="b">
        <v>1</v>
      </c>
      <c r="D34" s="1" t="s">
        <v>58</v>
      </c>
      <c r="F34" s="4">
        <v>31.0</v>
      </c>
      <c r="G34" s="1">
        <v>175.0</v>
      </c>
      <c r="H34" s="4" t="b">
        <v>1</v>
      </c>
      <c r="I34" s="1">
        <v>11.0</v>
      </c>
      <c r="J34" s="4" t="b">
        <v>1</v>
      </c>
      <c r="K34" s="1">
        <v>50.0</v>
      </c>
      <c r="L34" s="4" t="b">
        <v>1</v>
      </c>
      <c r="M34" s="1">
        <v>5.0</v>
      </c>
      <c r="N34" s="4" t="b">
        <v>1</v>
      </c>
      <c r="O34" s="1">
        <v>1677.0</v>
      </c>
      <c r="P34" s="4" t="b">
        <v>1</v>
      </c>
      <c r="Q34" s="1">
        <v>46.0</v>
      </c>
      <c r="R34" s="4" t="b">
        <v>1</v>
      </c>
      <c r="U34" s="9"/>
      <c r="V34" s="12" t="s">
        <v>74</v>
      </c>
      <c r="W34" s="10">
        <v>2492.0</v>
      </c>
      <c r="X34" s="10">
        <v>49.84</v>
      </c>
      <c r="Y34" s="10">
        <v>12.87</v>
      </c>
    </row>
    <row r="35">
      <c r="B35" s="1">
        <v>118.0</v>
      </c>
      <c r="C35" s="1" t="b">
        <v>1</v>
      </c>
      <c r="D35" s="1" t="s">
        <v>59</v>
      </c>
      <c r="F35" s="4">
        <v>32.0</v>
      </c>
      <c r="G35" s="1">
        <v>163.0</v>
      </c>
      <c r="H35" s="4" t="b">
        <v>1</v>
      </c>
      <c r="I35" s="2">
        <v>32.0</v>
      </c>
      <c r="J35" s="4" t="b">
        <v>1</v>
      </c>
      <c r="K35" s="1">
        <v>51.0</v>
      </c>
      <c r="L35" s="4" t="b">
        <v>1</v>
      </c>
      <c r="M35" s="1">
        <v>16.0</v>
      </c>
      <c r="N35" s="4" t="b">
        <v>1</v>
      </c>
      <c r="O35" s="1">
        <v>1662.0</v>
      </c>
      <c r="P35" s="4" t="b">
        <v>1</v>
      </c>
      <c r="Q35" s="1">
        <v>57.0</v>
      </c>
      <c r="R35" s="4" t="b">
        <v>1</v>
      </c>
      <c r="U35" s="9" t="s">
        <v>46</v>
      </c>
      <c r="V35" s="12" t="s">
        <v>71</v>
      </c>
      <c r="W35" s="10">
        <v>82989.0</v>
      </c>
      <c r="X35" s="10">
        <v>1659.78</v>
      </c>
      <c r="Y35" s="10">
        <v>21.07</v>
      </c>
    </row>
    <row r="36">
      <c r="B36" s="1">
        <v>119.0</v>
      </c>
      <c r="C36" s="1" t="b">
        <v>1</v>
      </c>
      <c r="D36" s="1" t="s">
        <v>60</v>
      </c>
      <c r="F36" s="4">
        <v>33.0</v>
      </c>
      <c r="G36" s="1">
        <v>180.0</v>
      </c>
      <c r="H36" s="4" t="b">
        <v>1</v>
      </c>
      <c r="I36" s="1">
        <v>21.0</v>
      </c>
      <c r="J36" s="4" t="b">
        <v>1</v>
      </c>
      <c r="K36" s="1">
        <v>50.0</v>
      </c>
      <c r="L36" s="4" t="b">
        <v>1</v>
      </c>
      <c r="M36" s="1">
        <v>12.0</v>
      </c>
      <c r="N36" s="4" t="b">
        <v>1</v>
      </c>
      <c r="O36" s="1">
        <v>1658.0</v>
      </c>
      <c r="P36" s="4" t="b">
        <v>1</v>
      </c>
      <c r="Q36" s="1">
        <v>49.0</v>
      </c>
      <c r="R36" s="4" t="b">
        <v>1</v>
      </c>
      <c r="U36" s="9"/>
      <c r="V36" s="12" t="s">
        <v>74</v>
      </c>
      <c r="W36" s="10">
        <v>2466.0</v>
      </c>
      <c r="X36" s="10">
        <v>49.32</v>
      </c>
      <c r="Y36" s="10">
        <v>19.37</v>
      </c>
    </row>
    <row r="37">
      <c r="B37" s="1">
        <v>122.0</v>
      </c>
      <c r="C37" s="1" t="b">
        <v>1</v>
      </c>
      <c r="D37" s="1" t="s">
        <v>61</v>
      </c>
      <c r="F37" s="4">
        <v>34.0</v>
      </c>
      <c r="G37" s="1">
        <v>156.0</v>
      </c>
      <c r="H37" s="4" t="b">
        <v>1</v>
      </c>
      <c r="I37" s="1">
        <v>29.0</v>
      </c>
      <c r="J37" s="4" t="b">
        <v>1</v>
      </c>
      <c r="K37" s="1">
        <v>51.0</v>
      </c>
      <c r="L37" s="4" t="b">
        <v>1</v>
      </c>
      <c r="M37" s="1">
        <v>21.0</v>
      </c>
      <c r="N37" s="4" t="b">
        <v>1</v>
      </c>
      <c r="O37" s="1">
        <v>1659.0</v>
      </c>
      <c r="P37" s="4" t="b">
        <v>1</v>
      </c>
      <c r="Q37" s="2">
        <v>63.0</v>
      </c>
      <c r="R37" s="4" t="b">
        <v>1</v>
      </c>
      <c r="U37" s="9" t="s">
        <v>50</v>
      </c>
      <c r="V37" s="12" t="s">
        <v>71</v>
      </c>
      <c r="W37" s="10">
        <v>83429.0</v>
      </c>
      <c r="X37" s="10">
        <v>1668.58</v>
      </c>
      <c r="Y37" s="10">
        <v>58.74</v>
      </c>
    </row>
    <row r="38">
      <c r="B38" s="1">
        <v>123.0</v>
      </c>
      <c r="C38" s="1" t="b">
        <v>1</v>
      </c>
      <c r="D38" s="1" t="s">
        <v>62</v>
      </c>
      <c r="F38" s="4">
        <v>35.0</v>
      </c>
      <c r="G38" s="1">
        <v>169.0</v>
      </c>
      <c r="H38" s="4" t="b">
        <v>1</v>
      </c>
      <c r="I38" s="1">
        <v>15.0</v>
      </c>
      <c r="J38" s="4" t="b">
        <v>1</v>
      </c>
      <c r="K38" s="1">
        <v>51.0</v>
      </c>
      <c r="L38" s="4" t="b">
        <v>1</v>
      </c>
      <c r="M38" s="1">
        <v>11.0</v>
      </c>
      <c r="N38" s="4" t="b">
        <v>1</v>
      </c>
      <c r="O38" s="1">
        <v>1679.0</v>
      </c>
      <c r="P38" s="4" t="b">
        <v>1</v>
      </c>
      <c r="Q38" s="1">
        <v>48.0</v>
      </c>
      <c r="R38" s="4" t="b">
        <v>1</v>
      </c>
      <c r="U38" s="9"/>
      <c r="V38" s="12" t="s">
        <v>74</v>
      </c>
      <c r="W38" s="10">
        <v>2467.0</v>
      </c>
      <c r="X38" s="10">
        <v>49.34</v>
      </c>
      <c r="Y38" s="10">
        <v>14.88</v>
      </c>
    </row>
    <row r="39">
      <c r="B39" s="1">
        <v>131.0</v>
      </c>
      <c r="C39" s="1" t="b">
        <v>1</v>
      </c>
      <c r="D39" s="1" t="s">
        <v>63</v>
      </c>
      <c r="F39" s="4">
        <v>36.0</v>
      </c>
      <c r="G39" s="1">
        <v>168.0</v>
      </c>
      <c r="H39" s="4" t="b">
        <v>1</v>
      </c>
      <c r="I39" s="1">
        <v>17.0</v>
      </c>
      <c r="J39" s="4" t="b">
        <v>1</v>
      </c>
      <c r="K39" s="1">
        <v>44.0</v>
      </c>
      <c r="L39" s="4" t="b">
        <v>1</v>
      </c>
      <c r="M39" s="1">
        <v>14.0</v>
      </c>
      <c r="N39" s="4" t="b">
        <v>1</v>
      </c>
      <c r="O39" s="1">
        <v>1667.0</v>
      </c>
      <c r="P39" s="4" t="b">
        <v>1</v>
      </c>
      <c r="Q39" s="1">
        <v>53.0</v>
      </c>
      <c r="R39" s="4" t="b">
        <v>1</v>
      </c>
    </row>
    <row r="40">
      <c r="B40" s="1">
        <v>141.0</v>
      </c>
      <c r="C40" s="1" t="b">
        <v>1</v>
      </c>
      <c r="D40" s="1" t="s">
        <v>64</v>
      </c>
      <c r="F40" s="4">
        <v>37.0</v>
      </c>
      <c r="G40" s="1">
        <v>175.0</v>
      </c>
      <c r="H40" s="4" t="b">
        <v>1</v>
      </c>
      <c r="I40" s="1">
        <v>12.0</v>
      </c>
      <c r="J40" s="4" t="b">
        <v>1</v>
      </c>
      <c r="K40" s="2">
        <v>62.0</v>
      </c>
      <c r="L40" s="4" t="b">
        <v>1</v>
      </c>
      <c r="M40" s="1">
        <v>8.0</v>
      </c>
      <c r="N40" s="4" t="b">
        <v>1</v>
      </c>
      <c r="O40" s="1">
        <v>1657.0</v>
      </c>
      <c r="P40" s="4" t="b">
        <v>1</v>
      </c>
      <c r="Q40" s="1">
        <v>47.0</v>
      </c>
      <c r="R40" s="4" t="b">
        <v>1</v>
      </c>
    </row>
    <row r="41">
      <c r="B41" s="1">
        <v>146.0</v>
      </c>
      <c r="C41" s="1" t="b">
        <v>1</v>
      </c>
      <c r="D41" s="1" t="s">
        <v>65</v>
      </c>
      <c r="F41" s="4">
        <v>38.0</v>
      </c>
      <c r="G41" s="1">
        <v>162.0</v>
      </c>
      <c r="H41" s="4" t="b">
        <v>1</v>
      </c>
      <c r="I41" s="1">
        <v>11.0</v>
      </c>
      <c r="J41" s="4" t="b">
        <v>1</v>
      </c>
      <c r="K41" s="1">
        <v>48.0</v>
      </c>
      <c r="L41" s="4" t="b">
        <v>1</v>
      </c>
      <c r="M41" s="1">
        <v>7.0</v>
      </c>
      <c r="N41" s="4" t="b">
        <v>1</v>
      </c>
      <c r="O41" s="1">
        <v>1671.0</v>
      </c>
      <c r="P41" s="4" t="b">
        <v>1</v>
      </c>
      <c r="Q41" s="1">
        <v>46.0</v>
      </c>
      <c r="R41" s="4" t="b">
        <v>1</v>
      </c>
    </row>
    <row r="42">
      <c r="B42" s="1">
        <v>148.0</v>
      </c>
      <c r="C42" s="1" t="b">
        <v>1</v>
      </c>
      <c r="D42" s="1" t="s">
        <v>66</v>
      </c>
      <c r="F42" s="4">
        <v>39.0</v>
      </c>
      <c r="G42" s="1">
        <v>150.0</v>
      </c>
      <c r="H42" s="4" t="b">
        <v>1</v>
      </c>
      <c r="I42" s="1">
        <v>7.0</v>
      </c>
      <c r="J42" s="4" t="b">
        <v>1</v>
      </c>
      <c r="K42" s="1">
        <v>45.0</v>
      </c>
      <c r="L42" s="4" t="b">
        <v>1</v>
      </c>
      <c r="M42" s="1">
        <v>5.0</v>
      </c>
      <c r="N42" s="4" t="b">
        <v>1</v>
      </c>
      <c r="O42" s="1">
        <v>1663.0</v>
      </c>
      <c r="P42" s="4" t="b">
        <v>1</v>
      </c>
      <c r="Q42" s="1">
        <v>46.0</v>
      </c>
      <c r="R42" s="4" t="b">
        <v>1</v>
      </c>
    </row>
    <row r="43">
      <c r="B43" s="1">
        <v>159.0</v>
      </c>
      <c r="C43" s="1" t="b">
        <v>1</v>
      </c>
      <c r="D43" s="1" t="s">
        <v>67</v>
      </c>
      <c r="F43" s="4">
        <v>40.0</v>
      </c>
      <c r="G43" s="1">
        <v>164.0</v>
      </c>
      <c r="H43" s="4" t="b">
        <v>1</v>
      </c>
      <c r="I43" s="1">
        <v>11.0</v>
      </c>
      <c r="J43" s="4" t="b">
        <v>1</v>
      </c>
      <c r="K43" s="1">
        <v>46.0</v>
      </c>
      <c r="L43" s="4" t="b">
        <v>1</v>
      </c>
      <c r="M43" s="1">
        <v>11.0</v>
      </c>
      <c r="N43" s="4" t="b">
        <v>1</v>
      </c>
      <c r="O43" s="1">
        <v>1662.0</v>
      </c>
      <c r="P43" s="4" t="b">
        <v>1</v>
      </c>
      <c r="Q43" s="1">
        <v>48.0</v>
      </c>
      <c r="R43" s="4" t="b">
        <v>1</v>
      </c>
    </row>
    <row r="44">
      <c r="B44" s="1">
        <v>163.0</v>
      </c>
      <c r="C44" s="1" t="b">
        <v>1</v>
      </c>
      <c r="D44" s="1" t="s">
        <v>68</v>
      </c>
      <c r="F44" s="4">
        <v>41.0</v>
      </c>
      <c r="G44" s="1">
        <v>162.0</v>
      </c>
      <c r="H44" s="4" t="b">
        <v>1</v>
      </c>
      <c r="I44" s="1">
        <v>12.0</v>
      </c>
      <c r="J44" s="4" t="b">
        <v>1</v>
      </c>
      <c r="K44" s="1">
        <v>44.0</v>
      </c>
      <c r="L44" s="4" t="b">
        <v>1</v>
      </c>
      <c r="M44" s="1">
        <v>9.0</v>
      </c>
      <c r="N44" s="4" t="b">
        <v>1</v>
      </c>
      <c r="O44" s="1">
        <v>1687.0</v>
      </c>
      <c r="P44" s="4" t="b">
        <v>1</v>
      </c>
      <c r="Q44" s="1">
        <v>48.0</v>
      </c>
      <c r="R44" s="4" t="b">
        <v>1</v>
      </c>
    </row>
    <row r="45">
      <c r="B45" s="1">
        <v>167.0</v>
      </c>
      <c r="C45" s="1" t="b">
        <v>1</v>
      </c>
      <c r="D45" s="1" t="s">
        <v>70</v>
      </c>
      <c r="F45" s="4">
        <v>42.0</v>
      </c>
      <c r="G45" s="1">
        <v>164.0</v>
      </c>
      <c r="H45" s="4" t="b">
        <v>1</v>
      </c>
      <c r="I45" s="1">
        <v>8.0</v>
      </c>
      <c r="J45" s="4" t="b">
        <v>1</v>
      </c>
      <c r="K45" s="1">
        <v>57.0</v>
      </c>
      <c r="L45" s="4" t="b">
        <v>1</v>
      </c>
      <c r="M45" s="1">
        <v>5.0</v>
      </c>
      <c r="N45" s="4" t="b">
        <v>1</v>
      </c>
      <c r="O45" s="1">
        <v>1677.0</v>
      </c>
      <c r="P45" s="4" t="b">
        <v>1</v>
      </c>
      <c r="Q45" s="1">
        <v>46.0</v>
      </c>
      <c r="R45" s="4" t="b">
        <v>1</v>
      </c>
      <c r="T45" s="1" t="s">
        <v>141</v>
      </c>
      <c r="U45" s="1" t="s">
        <v>142</v>
      </c>
    </row>
    <row r="46">
      <c r="B46" s="1">
        <v>171.0</v>
      </c>
      <c r="C46" s="1" t="b">
        <v>1</v>
      </c>
      <c r="D46" s="1" t="s">
        <v>72</v>
      </c>
      <c r="F46" s="4">
        <v>43.0</v>
      </c>
      <c r="G46" s="1">
        <v>165.0</v>
      </c>
      <c r="H46" s="4" t="b">
        <v>1</v>
      </c>
      <c r="I46" s="1">
        <v>17.0</v>
      </c>
      <c r="J46" s="4" t="b">
        <v>1</v>
      </c>
      <c r="K46" s="1">
        <v>49.0</v>
      </c>
      <c r="L46" s="4" t="b">
        <v>1</v>
      </c>
      <c r="M46" s="1">
        <v>13.0</v>
      </c>
      <c r="N46" s="4" t="b">
        <v>1</v>
      </c>
      <c r="O46" s="1">
        <v>1674.0</v>
      </c>
      <c r="P46" s="4" t="b">
        <v>1</v>
      </c>
      <c r="Q46" s="1">
        <v>50.0</v>
      </c>
      <c r="R46" s="4" t="b">
        <v>1</v>
      </c>
      <c r="T46" s="14" t="s">
        <v>144</v>
      </c>
      <c r="U46" s="14" t="s">
        <v>145</v>
      </c>
    </row>
    <row r="47">
      <c r="B47" s="1">
        <v>177.0</v>
      </c>
      <c r="C47" s="1" t="b">
        <v>1</v>
      </c>
      <c r="D47" s="1" t="s">
        <v>73</v>
      </c>
      <c r="F47" s="4">
        <v>44.0</v>
      </c>
      <c r="G47" s="1">
        <v>168.0</v>
      </c>
      <c r="H47" s="4" t="b">
        <v>1</v>
      </c>
      <c r="I47" s="1">
        <v>19.0</v>
      </c>
      <c r="J47" s="4" t="b">
        <v>1</v>
      </c>
      <c r="K47" s="1">
        <v>45.0</v>
      </c>
      <c r="L47" s="4" t="b">
        <v>1</v>
      </c>
      <c r="M47" s="1">
        <v>13.0</v>
      </c>
      <c r="N47" s="4" t="b">
        <v>1</v>
      </c>
      <c r="O47" s="1">
        <v>1657.0</v>
      </c>
      <c r="P47" s="4" t="b">
        <v>1</v>
      </c>
      <c r="Q47" s="1">
        <v>51.0</v>
      </c>
      <c r="R47" s="4" t="b">
        <v>1</v>
      </c>
      <c r="U47" s="1" t="s">
        <v>147</v>
      </c>
    </row>
    <row r="48">
      <c r="B48" s="1">
        <v>180.0</v>
      </c>
      <c r="C48" s="1" t="b">
        <v>1</v>
      </c>
      <c r="D48" s="1" t="s">
        <v>75</v>
      </c>
      <c r="F48" s="4">
        <v>45.0</v>
      </c>
      <c r="G48" s="1">
        <v>168.0</v>
      </c>
      <c r="H48" s="4" t="b">
        <v>1</v>
      </c>
      <c r="I48" s="1">
        <v>16.0</v>
      </c>
      <c r="J48" s="4" t="b">
        <v>1</v>
      </c>
      <c r="K48" s="1">
        <v>50.0</v>
      </c>
      <c r="L48" s="4" t="b">
        <v>1</v>
      </c>
      <c r="M48" s="1">
        <v>12.0</v>
      </c>
      <c r="N48" s="4" t="b">
        <v>1</v>
      </c>
      <c r="O48" s="1">
        <v>1660.0</v>
      </c>
      <c r="P48" s="4" t="b">
        <v>1</v>
      </c>
      <c r="Q48" s="1">
        <v>49.0</v>
      </c>
      <c r="R48" s="4" t="b">
        <v>1</v>
      </c>
      <c r="U48" s="1" t="s">
        <v>148</v>
      </c>
    </row>
    <row r="49">
      <c r="B49" s="1">
        <v>184.0</v>
      </c>
      <c r="C49" s="1" t="b">
        <v>1</v>
      </c>
      <c r="D49" s="1" t="s">
        <v>76</v>
      </c>
      <c r="F49" s="4">
        <v>46.0</v>
      </c>
      <c r="G49" s="1">
        <v>158.0</v>
      </c>
      <c r="H49" s="4" t="b">
        <v>1</v>
      </c>
      <c r="I49" s="1">
        <v>14.0</v>
      </c>
      <c r="J49" s="4" t="b">
        <v>1</v>
      </c>
      <c r="K49" s="1">
        <v>45.0</v>
      </c>
      <c r="L49" s="4" t="b">
        <v>1</v>
      </c>
      <c r="M49" s="1">
        <v>10.0</v>
      </c>
      <c r="N49" s="4" t="b">
        <v>1</v>
      </c>
      <c r="O49" s="1">
        <v>1679.0</v>
      </c>
      <c r="P49" s="4" t="b">
        <v>1</v>
      </c>
      <c r="Q49" s="1">
        <v>49.0</v>
      </c>
      <c r="R49" s="4" t="b">
        <v>1</v>
      </c>
      <c r="U49" s="1" t="s">
        <v>149</v>
      </c>
    </row>
    <row r="50">
      <c r="B50" s="1">
        <v>187.0</v>
      </c>
      <c r="C50" s="1" t="b">
        <v>1</v>
      </c>
      <c r="D50" s="1" t="s">
        <v>77</v>
      </c>
      <c r="F50" s="4">
        <v>47.0</v>
      </c>
      <c r="G50" s="1">
        <v>177.0</v>
      </c>
      <c r="H50" s="4" t="b">
        <v>1</v>
      </c>
      <c r="I50" s="1">
        <v>12.0</v>
      </c>
      <c r="J50" s="4" t="b">
        <v>1</v>
      </c>
      <c r="K50" s="1">
        <v>45.0</v>
      </c>
      <c r="L50" s="4" t="b">
        <v>1</v>
      </c>
      <c r="M50" s="1">
        <v>8.0</v>
      </c>
      <c r="N50" s="4" t="b">
        <v>1</v>
      </c>
      <c r="O50" s="1">
        <v>1669.0</v>
      </c>
      <c r="P50" s="4" t="b">
        <v>1</v>
      </c>
      <c r="Q50" s="1">
        <v>48.0</v>
      </c>
      <c r="R50" s="4" t="b">
        <v>1</v>
      </c>
    </row>
    <row r="51">
      <c r="B51" s="1">
        <v>195.0</v>
      </c>
      <c r="C51" s="1" t="b">
        <v>1</v>
      </c>
      <c r="D51" s="1" t="s">
        <v>78</v>
      </c>
      <c r="F51" s="4">
        <v>48.0</v>
      </c>
      <c r="G51" s="1">
        <v>172.0</v>
      </c>
      <c r="H51" s="4" t="b">
        <v>1</v>
      </c>
      <c r="I51" s="1">
        <v>19.0</v>
      </c>
      <c r="J51" s="4" t="b">
        <v>1</v>
      </c>
      <c r="K51" s="1">
        <v>48.0</v>
      </c>
      <c r="L51" s="4" t="b">
        <v>1</v>
      </c>
      <c r="M51" s="1">
        <v>8.0</v>
      </c>
      <c r="N51" s="4" t="b">
        <v>1</v>
      </c>
      <c r="O51" s="1">
        <v>1680.0</v>
      </c>
      <c r="P51" s="4" t="b">
        <v>1</v>
      </c>
      <c r="Q51" s="1">
        <v>47.0</v>
      </c>
      <c r="R51" s="4" t="b">
        <v>1</v>
      </c>
    </row>
    <row r="52">
      <c r="B52" s="1">
        <v>196.0</v>
      </c>
      <c r="C52" s="1" t="b">
        <v>1</v>
      </c>
      <c r="D52" s="1" t="s">
        <v>79</v>
      </c>
      <c r="F52" s="4">
        <v>49.0</v>
      </c>
      <c r="G52" s="2">
        <v>188.0</v>
      </c>
      <c r="H52" s="4" t="b">
        <v>1</v>
      </c>
      <c r="I52" s="1">
        <v>20.0</v>
      </c>
      <c r="J52" s="4" t="b">
        <v>1</v>
      </c>
      <c r="K52" s="1">
        <v>47.0</v>
      </c>
      <c r="L52" s="4" t="b">
        <v>1</v>
      </c>
      <c r="M52" s="1">
        <v>18.0</v>
      </c>
      <c r="N52" s="4" t="b">
        <v>1</v>
      </c>
      <c r="O52" s="1">
        <v>1648.0</v>
      </c>
      <c r="P52" s="4" t="b">
        <v>1</v>
      </c>
      <c r="Q52" s="1">
        <v>53.0</v>
      </c>
      <c r="R52" s="4" t="b">
        <v>1</v>
      </c>
    </row>
    <row r="53">
      <c r="B53" s="1">
        <v>206.0</v>
      </c>
      <c r="C53" s="1" t="b">
        <v>1</v>
      </c>
      <c r="D53" s="1" t="s">
        <v>80</v>
      </c>
      <c r="F53" s="4">
        <v>50.0</v>
      </c>
      <c r="G53" s="1">
        <v>163.0</v>
      </c>
      <c r="H53" s="4" t="b">
        <v>1</v>
      </c>
      <c r="I53" s="1">
        <v>13.0</v>
      </c>
      <c r="J53" s="4" t="b">
        <v>1</v>
      </c>
      <c r="K53" s="1">
        <v>48.0</v>
      </c>
      <c r="L53" s="4" t="b">
        <v>1</v>
      </c>
      <c r="M53" s="1">
        <v>10.0</v>
      </c>
      <c r="N53" s="4" t="b">
        <v>1</v>
      </c>
      <c r="O53" s="1">
        <v>1671.0</v>
      </c>
      <c r="P53" s="4" t="b">
        <v>1</v>
      </c>
      <c r="Q53" s="1">
        <v>50.0</v>
      </c>
      <c r="R53" s="4" t="b">
        <v>1</v>
      </c>
    </row>
    <row r="57">
      <c r="S57" s="1" t="s">
        <v>154</v>
      </c>
    </row>
    <row r="58">
      <c r="E58" s="1" t="s">
        <v>81</v>
      </c>
      <c r="G58" s="1" t="s">
        <v>155</v>
      </c>
      <c r="I58" s="1" t="s">
        <v>156</v>
      </c>
      <c r="K58" s="1" t="s">
        <v>157</v>
      </c>
      <c r="M58" s="1" t="s">
        <v>158</v>
      </c>
      <c r="O58" s="1" t="s">
        <v>159</v>
      </c>
      <c r="Q58" s="1" t="s">
        <v>160</v>
      </c>
      <c r="S58" s="1" t="s">
        <v>32</v>
      </c>
    </row>
    <row r="59">
      <c r="E59" s="1" t="s">
        <v>88</v>
      </c>
      <c r="G59" s="1" t="s">
        <v>161</v>
      </c>
      <c r="I59" s="1" t="s">
        <v>90</v>
      </c>
      <c r="K59" s="1" t="s">
        <v>94</v>
      </c>
      <c r="M59" s="1" t="s">
        <v>119</v>
      </c>
      <c r="O59" s="1" t="s">
        <v>162</v>
      </c>
      <c r="Q59" s="1" t="s">
        <v>94</v>
      </c>
      <c r="S59" s="1" t="s">
        <v>163</v>
      </c>
      <c r="T59" s="1" t="s">
        <v>164</v>
      </c>
      <c r="U59" s="1" t="s">
        <v>165</v>
      </c>
      <c r="V59" s="1" t="s">
        <v>166</v>
      </c>
      <c r="W59" s="1" t="s">
        <v>167</v>
      </c>
      <c r="X59" s="1" t="s">
        <v>168</v>
      </c>
      <c r="Y59" s="1" t="s">
        <v>169</v>
      </c>
      <c r="Z59" s="1" t="s">
        <v>170</v>
      </c>
    </row>
    <row r="60">
      <c r="E60" s="1" t="s">
        <v>95</v>
      </c>
      <c r="G60" s="1" t="s">
        <v>137</v>
      </c>
      <c r="I60" s="1" t="s">
        <v>123</v>
      </c>
      <c r="K60" s="1" t="s">
        <v>171</v>
      </c>
      <c r="M60" s="1" t="s">
        <v>125</v>
      </c>
      <c r="O60" s="1" t="s">
        <v>172</v>
      </c>
      <c r="Q60" s="1" t="s">
        <v>106</v>
      </c>
      <c r="T60" s="1" t="s">
        <v>173</v>
      </c>
      <c r="U60" s="16">
        <v>678638.76</v>
      </c>
      <c r="V60" s="1">
        <v>1.0</v>
      </c>
      <c r="W60" s="16">
        <v>678638.76</v>
      </c>
      <c r="X60" s="1">
        <v>4244.6</v>
      </c>
      <c r="Y60" s="1" t="s">
        <v>174</v>
      </c>
      <c r="Z60" s="1">
        <v>4.038</v>
      </c>
    </row>
    <row r="61">
      <c r="E61" s="1" t="s">
        <v>107</v>
      </c>
      <c r="T61" s="1" t="s">
        <v>175</v>
      </c>
      <c r="U61" s="16">
        <v>8834.76</v>
      </c>
      <c r="V61" s="1">
        <v>49.0</v>
      </c>
      <c r="W61" s="1">
        <v>180.3</v>
      </c>
      <c r="X61" s="1">
        <v>1.13</v>
      </c>
      <c r="Y61" s="1">
        <v>0.3204</v>
      </c>
      <c r="Z61" s="1">
        <v>1.607</v>
      </c>
    </row>
    <row r="62">
      <c r="E62" s="1" t="s">
        <v>176</v>
      </c>
      <c r="T62" s="1" t="s">
        <v>177</v>
      </c>
      <c r="U62" s="16">
        <v>7834.24</v>
      </c>
      <c r="V62" s="1">
        <v>49.0</v>
      </c>
      <c r="W62" s="1">
        <v>159.88</v>
      </c>
    </row>
    <row r="63">
      <c r="E63" s="1"/>
      <c r="G63" s="1"/>
      <c r="I63" s="1"/>
      <c r="K63" s="1"/>
      <c r="M63" s="1"/>
      <c r="O63" s="1"/>
      <c r="Q63" s="1"/>
      <c r="T63" s="1" t="s">
        <v>178</v>
      </c>
      <c r="U63" s="16">
        <v>695307.76</v>
      </c>
      <c r="V63" s="1">
        <v>99.0</v>
      </c>
    </row>
    <row r="64">
      <c r="E64" s="1" t="s">
        <v>109</v>
      </c>
      <c r="G64" s="1" t="s">
        <v>111</v>
      </c>
      <c r="I64" s="1" t="s">
        <v>112</v>
      </c>
      <c r="K64" s="1" t="s">
        <v>113</v>
      </c>
      <c r="M64" s="1" t="s">
        <v>115</v>
      </c>
      <c r="O64" s="1" t="s">
        <v>116</v>
      </c>
      <c r="Q64" s="1" t="s">
        <v>118</v>
      </c>
    </row>
    <row r="65">
      <c r="E65" s="1" t="s">
        <v>120</v>
      </c>
      <c r="G65" s="3">
        <f>QUARTILE(G4:G53,1)</f>
        <v>160.25</v>
      </c>
      <c r="I65" s="3">
        <f>QUARTILE(I4:I53,1)</f>
        <v>9</v>
      </c>
      <c r="K65" s="3">
        <f>QUARTILE(K4:K53,1)</f>
        <v>46</v>
      </c>
      <c r="M65" s="3">
        <f>QUARTILE(M4:M53,1)</f>
        <v>7</v>
      </c>
      <c r="O65" s="3">
        <f>QUARTILE(O4:O53,1)</f>
        <v>1659.25</v>
      </c>
      <c r="Q65" s="3">
        <f>QUARTILE(Q4:Q53,1)</f>
        <v>46</v>
      </c>
      <c r="S65" s="1" t="s">
        <v>179</v>
      </c>
      <c r="T65" s="1" t="s">
        <v>164</v>
      </c>
      <c r="U65" s="1" t="s">
        <v>165</v>
      </c>
      <c r="V65" s="1" t="s">
        <v>166</v>
      </c>
      <c r="W65" s="1" t="s">
        <v>167</v>
      </c>
      <c r="X65" s="1" t="s">
        <v>168</v>
      </c>
      <c r="Y65" s="1" t="s">
        <v>169</v>
      </c>
      <c r="Z65" s="1" t="s">
        <v>170</v>
      </c>
    </row>
    <row r="66">
      <c r="E66" s="1" t="s">
        <v>127</v>
      </c>
      <c r="G66" s="3">
        <f>QUARTILE(G4:G53,3)</f>
        <v>170</v>
      </c>
      <c r="I66" s="3">
        <f>QUARTILE(I4:I53,3)</f>
        <v>17.75</v>
      </c>
      <c r="K66" s="3">
        <f>QUARTILE(K4:K53,3)</f>
        <v>51</v>
      </c>
      <c r="M66" s="3">
        <f>QUARTILE(M4:M53,3)</f>
        <v>12.75</v>
      </c>
      <c r="O66" s="3">
        <f>QUARTILE(O4:O53,3)</f>
        <v>1678.5</v>
      </c>
      <c r="Q66" s="3">
        <f>QUARTILE(Q4:Q53,3)</f>
        <v>49</v>
      </c>
      <c r="T66" s="1" t="s">
        <v>173</v>
      </c>
      <c r="U66" s="16">
        <v>664710.09</v>
      </c>
      <c r="V66" s="1">
        <v>1.0</v>
      </c>
      <c r="W66" s="16">
        <v>664710.09</v>
      </c>
      <c r="X66" s="16">
        <v>4057.38</v>
      </c>
      <c r="Y66" s="1" t="s">
        <v>174</v>
      </c>
      <c r="Z66" s="1">
        <v>4.038</v>
      </c>
    </row>
    <row r="67">
      <c r="E67" s="1" t="s">
        <v>143</v>
      </c>
      <c r="G67" s="3">
        <f>G66-G65</f>
        <v>9.75</v>
      </c>
      <c r="I67" s="3">
        <f>I66-I65</f>
        <v>8.75</v>
      </c>
      <c r="K67" s="3">
        <f>K66-K65</f>
        <v>5</v>
      </c>
      <c r="M67" s="3">
        <f>M66-M65</f>
        <v>5.75</v>
      </c>
      <c r="O67" s="3">
        <f>O66-O65</f>
        <v>19.25</v>
      </c>
      <c r="Q67" s="3">
        <f>Q66-Q65</f>
        <v>3</v>
      </c>
      <c r="T67" s="1" t="s">
        <v>175</v>
      </c>
      <c r="U67" s="16">
        <v>7891.09</v>
      </c>
      <c r="V67" s="1">
        <v>49.0</v>
      </c>
      <c r="W67" s="1">
        <v>161.04</v>
      </c>
      <c r="X67" s="1">
        <v>0.98</v>
      </c>
      <c r="Y67" s="1">
        <v>0.5182</v>
      </c>
      <c r="Z67" s="1">
        <v>1.607</v>
      </c>
    </row>
    <row r="68">
      <c r="E68" s="1" t="s">
        <v>146</v>
      </c>
      <c r="G68" s="3">
        <f>1.5*G67</f>
        <v>14.625</v>
      </c>
      <c r="I68" s="3">
        <f>1.5*I67</f>
        <v>13.125</v>
      </c>
      <c r="K68" s="3">
        <f>1.5*K67</f>
        <v>7.5</v>
      </c>
      <c r="M68" s="3">
        <f>1.5*M67</f>
        <v>8.625</v>
      </c>
      <c r="O68" s="3">
        <f>1.5*O67</f>
        <v>28.875</v>
      </c>
      <c r="Q68" s="3">
        <f>1.5*Q67</f>
        <v>4.5</v>
      </c>
      <c r="T68" s="1" t="s">
        <v>177</v>
      </c>
      <c r="U68" s="16">
        <v>8027.41</v>
      </c>
      <c r="V68" s="1">
        <v>49.0</v>
      </c>
      <c r="W68" s="1">
        <v>163.82</v>
      </c>
    </row>
    <row r="69">
      <c r="E69" s="1" t="s">
        <v>5</v>
      </c>
      <c r="G69" s="3">
        <f>G66+G68</f>
        <v>184.625</v>
      </c>
      <c r="I69" s="3">
        <f>I66+I68</f>
        <v>30.875</v>
      </c>
      <c r="K69" s="3">
        <f>K66+K68</f>
        <v>58.5</v>
      </c>
      <c r="M69" s="3">
        <f>M66+M68</f>
        <v>21.375</v>
      </c>
      <c r="O69" s="3">
        <f>O66+O68</f>
        <v>1707.375</v>
      </c>
      <c r="Q69" s="3">
        <f>Q66+Q68</f>
        <v>53.5</v>
      </c>
      <c r="T69" s="1" t="s">
        <v>178</v>
      </c>
      <c r="U69" s="16">
        <v>680628.59</v>
      </c>
      <c r="V69" s="1">
        <v>99.0</v>
      </c>
    </row>
    <row r="70">
      <c r="E70" s="1" t="s">
        <v>10</v>
      </c>
      <c r="G70" s="3">
        <f>G65-G68</f>
        <v>145.625</v>
      </c>
      <c r="I70" s="3">
        <f>I65-I68</f>
        <v>-4.125</v>
      </c>
      <c r="K70" s="3">
        <f>K65-K68</f>
        <v>38.5</v>
      </c>
      <c r="M70" s="3">
        <f>M65-M68</f>
        <v>-1.625</v>
      </c>
      <c r="O70" s="3">
        <f>O65-O68</f>
        <v>1630.375</v>
      </c>
      <c r="Q70" s="3">
        <f>Q65-Q68</f>
        <v>41.5</v>
      </c>
    </row>
    <row r="71">
      <c r="E71" s="1" t="s">
        <v>150</v>
      </c>
      <c r="S71" s="1" t="s">
        <v>180</v>
      </c>
      <c r="T71" s="1" t="s">
        <v>164</v>
      </c>
      <c r="U71" s="1" t="s">
        <v>165</v>
      </c>
      <c r="V71" s="1" t="s">
        <v>166</v>
      </c>
      <c r="W71" s="1" t="s">
        <v>167</v>
      </c>
      <c r="X71" s="1" t="s">
        <v>168</v>
      </c>
      <c r="Y71" s="1" t="s">
        <v>169</v>
      </c>
      <c r="Z71" s="1" t="s">
        <v>170</v>
      </c>
    </row>
    <row r="72">
      <c r="E72" s="1" t="s">
        <v>151</v>
      </c>
      <c r="T72" s="1" t="s">
        <v>173</v>
      </c>
      <c r="U72" s="16">
        <v>632499.84</v>
      </c>
      <c r="V72" s="1">
        <v>1.0</v>
      </c>
      <c r="W72" s="16">
        <v>632499.84</v>
      </c>
      <c r="X72" s="16">
        <v>2370.21</v>
      </c>
      <c r="Y72" s="1" t="s">
        <v>174</v>
      </c>
      <c r="Z72" s="1">
        <v>4.038</v>
      </c>
    </row>
    <row r="73">
      <c r="T73" s="1" t="s">
        <v>175</v>
      </c>
      <c r="U73" s="16">
        <v>14028.34</v>
      </c>
      <c r="V73" s="1">
        <v>49.0</v>
      </c>
      <c r="W73" s="1">
        <v>286.29</v>
      </c>
      <c r="X73" s="1">
        <v>1.07</v>
      </c>
      <c r="Y73" s="1">
        <v>0.3952</v>
      </c>
      <c r="Z73" s="1">
        <v>1.607</v>
      </c>
    </row>
    <row r="74">
      <c r="T74" s="1" t="s">
        <v>177</v>
      </c>
      <c r="U74" s="16">
        <v>13074.16</v>
      </c>
      <c r="V74" s="1">
        <v>49.0</v>
      </c>
      <c r="W74" s="1">
        <v>266.82</v>
      </c>
    </row>
    <row r="75">
      <c r="T75" s="1" t="s">
        <v>178</v>
      </c>
      <c r="U75" s="16">
        <v>659602.34</v>
      </c>
      <c r="V75" s="1">
        <v>99.0</v>
      </c>
    </row>
    <row r="76">
      <c r="S76" s="17"/>
      <c r="T76" s="17"/>
      <c r="U76" s="17"/>
      <c r="V76" s="17"/>
      <c r="W76" s="17"/>
      <c r="X76" s="17"/>
      <c r="Y76" s="17"/>
      <c r="Z76" s="17"/>
    </row>
    <row r="78">
      <c r="S78" s="1" t="s">
        <v>55</v>
      </c>
    </row>
    <row r="79">
      <c r="G79" s="1" t="s">
        <v>152</v>
      </c>
      <c r="S79" s="1" t="s">
        <v>163</v>
      </c>
      <c r="T79" s="1" t="s">
        <v>164</v>
      </c>
      <c r="U79" s="1" t="s">
        <v>165</v>
      </c>
      <c r="V79" s="1" t="s">
        <v>166</v>
      </c>
      <c r="W79" s="1" t="s">
        <v>167</v>
      </c>
      <c r="X79" s="1" t="s">
        <v>168</v>
      </c>
      <c r="Y79" s="1" t="s">
        <v>169</v>
      </c>
      <c r="Z79" s="1" t="s">
        <v>170</v>
      </c>
    </row>
    <row r="80">
      <c r="G80" s="1" t="s">
        <v>32</v>
      </c>
      <c r="H80" s="15">
        <f>TTEST(G4:G53,I4:I53,2,1)</f>
        <v>0</v>
      </c>
      <c r="T80" s="1" t="s">
        <v>173</v>
      </c>
      <c r="U80" s="11">
        <v>38025.0</v>
      </c>
      <c r="V80" s="18">
        <v>1.0</v>
      </c>
      <c r="W80" s="11">
        <v>38025.0</v>
      </c>
      <c r="X80" s="11">
        <v>2207.24</v>
      </c>
      <c r="Y80" s="9" t="s">
        <v>181</v>
      </c>
      <c r="Z80" s="10">
        <v>4.038</v>
      </c>
    </row>
    <row r="81">
      <c r="G81" s="1" t="s">
        <v>55</v>
      </c>
      <c r="H81" s="15">
        <f>TTEST(K4:K53,M4:M53,2,1)</f>
        <v>0</v>
      </c>
      <c r="T81" s="1" t="s">
        <v>175</v>
      </c>
      <c r="U81" s="11">
        <v>3388.5</v>
      </c>
      <c r="V81" s="18">
        <v>49.0</v>
      </c>
      <c r="W81" s="10">
        <v>69.15</v>
      </c>
      <c r="X81" s="10">
        <v>4.01</v>
      </c>
      <c r="Y81" s="9" t="s">
        <v>181</v>
      </c>
      <c r="Z81" s="10">
        <v>1.607</v>
      </c>
    </row>
    <row r="82">
      <c r="G82" s="1" t="s">
        <v>153</v>
      </c>
      <c r="H82" s="15">
        <f>TTEST(O4:O53,Q4:Q53,2,1)</f>
        <v>0</v>
      </c>
      <c r="T82" s="1" t="s">
        <v>177</v>
      </c>
      <c r="U82" s="11">
        <v>844.0</v>
      </c>
      <c r="V82" s="18">
        <v>49.0</v>
      </c>
      <c r="W82" s="10">
        <v>17.22</v>
      </c>
      <c r="X82" s="9"/>
      <c r="Y82" s="9"/>
      <c r="Z82" s="9"/>
    </row>
    <row r="83">
      <c r="T83" s="1" t="s">
        <v>178</v>
      </c>
      <c r="U83" s="11">
        <v>42257.5</v>
      </c>
      <c r="V83" s="18">
        <v>99.0</v>
      </c>
      <c r="W83" s="9"/>
      <c r="X83" s="9"/>
      <c r="Y83" s="9"/>
      <c r="Z83" s="9"/>
    </row>
    <row r="85">
      <c r="S85" s="1" t="s">
        <v>179</v>
      </c>
      <c r="T85" s="1" t="s">
        <v>164</v>
      </c>
      <c r="U85" s="1" t="s">
        <v>165</v>
      </c>
      <c r="V85" s="1" t="s">
        <v>166</v>
      </c>
      <c r="W85" s="1" t="s">
        <v>167</v>
      </c>
      <c r="X85" s="1" t="s">
        <v>168</v>
      </c>
      <c r="Y85" s="1" t="s">
        <v>169</v>
      </c>
      <c r="Z85" s="1" t="s">
        <v>170</v>
      </c>
    </row>
    <row r="86">
      <c r="T86" s="1" t="s">
        <v>173</v>
      </c>
      <c r="U86" s="11">
        <v>37364.89</v>
      </c>
      <c r="V86" s="18">
        <v>1.0</v>
      </c>
      <c r="W86" s="11">
        <v>37364.89</v>
      </c>
      <c r="X86" s="11">
        <v>2263.26</v>
      </c>
      <c r="Y86" s="9" t="s">
        <v>181</v>
      </c>
      <c r="Z86" s="10">
        <v>4.038</v>
      </c>
    </row>
    <row r="87">
      <c r="T87" s="1" t="s">
        <v>175</v>
      </c>
      <c r="U87" s="11">
        <v>3445.39</v>
      </c>
      <c r="V87" s="18">
        <v>49.0</v>
      </c>
      <c r="W87" s="10">
        <v>70.31</v>
      </c>
      <c r="X87" s="10">
        <v>4.26</v>
      </c>
      <c r="Y87" s="9" t="s">
        <v>181</v>
      </c>
      <c r="Z87" s="10">
        <v>1.607</v>
      </c>
    </row>
    <row r="88">
      <c r="T88" s="1" t="s">
        <v>177</v>
      </c>
      <c r="U88" s="11">
        <v>808.86</v>
      </c>
      <c r="V88" s="18">
        <v>49.0</v>
      </c>
      <c r="W88" s="10">
        <v>16.51</v>
      </c>
      <c r="X88" s="9"/>
      <c r="Y88" s="9"/>
      <c r="Z88" s="9"/>
    </row>
    <row r="89">
      <c r="T89" s="1" t="s">
        <v>178</v>
      </c>
      <c r="U89" s="11">
        <v>41619.14</v>
      </c>
      <c r="V89" s="18">
        <v>99.0</v>
      </c>
      <c r="W89" s="9"/>
      <c r="X89" s="9"/>
      <c r="Y89" s="9"/>
      <c r="Z89" s="9"/>
    </row>
    <row r="91">
      <c r="S91" s="1" t="s">
        <v>180</v>
      </c>
      <c r="T91" s="1" t="s">
        <v>164</v>
      </c>
      <c r="U91" s="1" t="s">
        <v>165</v>
      </c>
      <c r="V91" s="1" t="s">
        <v>166</v>
      </c>
      <c r="W91" s="1" t="s">
        <v>167</v>
      </c>
      <c r="X91" s="1" t="s">
        <v>168</v>
      </c>
      <c r="Y91" s="1" t="s">
        <v>169</v>
      </c>
      <c r="Z91" s="1" t="s">
        <v>170</v>
      </c>
    </row>
    <row r="92">
      <c r="T92" s="1" t="s">
        <v>173</v>
      </c>
      <c r="U92" s="11">
        <v>43097.64</v>
      </c>
      <c r="V92" s="18">
        <v>1.0</v>
      </c>
      <c r="W92" s="11">
        <v>43097.64</v>
      </c>
      <c r="X92" s="11">
        <v>2478.43</v>
      </c>
      <c r="Y92" s="9" t="s">
        <v>181</v>
      </c>
      <c r="Z92" s="10">
        <v>4.038</v>
      </c>
    </row>
    <row r="93">
      <c r="T93" s="1" t="s">
        <v>175</v>
      </c>
      <c r="U93" s="11">
        <v>2989.14</v>
      </c>
      <c r="V93" s="18">
        <v>49.0</v>
      </c>
      <c r="W93" s="10">
        <v>61.0</v>
      </c>
      <c r="X93" s="10">
        <v>3.51</v>
      </c>
      <c r="Y93" s="9" t="s">
        <v>181</v>
      </c>
      <c r="Z93" s="10">
        <v>1.607</v>
      </c>
    </row>
    <row r="94">
      <c r="T94" s="1" t="s">
        <v>177</v>
      </c>
      <c r="U94" s="11">
        <v>852.11</v>
      </c>
      <c r="V94" s="18">
        <v>49.0</v>
      </c>
      <c r="W94" s="10">
        <v>17.39</v>
      </c>
      <c r="X94" s="9"/>
      <c r="Y94" s="9"/>
      <c r="Z94" s="9"/>
    </row>
    <row r="95">
      <c r="T95" s="1" t="s">
        <v>178</v>
      </c>
      <c r="U95" s="11">
        <v>46938.89</v>
      </c>
      <c r="V95" s="18">
        <v>99.0</v>
      </c>
      <c r="W95" s="9"/>
      <c r="X95" s="9"/>
      <c r="Y95" s="9"/>
      <c r="Z95" s="9"/>
    </row>
    <row r="97">
      <c r="S97" s="33"/>
      <c r="T97" s="33"/>
      <c r="U97" s="33"/>
      <c r="V97" s="33"/>
      <c r="W97" s="33"/>
      <c r="X97" s="33"/>
      <c r="Y97" s="33"/>
      <c r="Z97" s="33"/>
    </row>
    <row r="98">
      <c r="S98" s="1" t="s">
        <v>69</v>
      </c>
    </row>
    <row r="99">
      <c r="S99" s="1" t="s">
        <v>163</v>
      </c>
      <c r="T99" s="1" t="s">
        <v>164</v>
      </c>
      <c r="U99" s="1" t="s">
        <v>165</v>
      </c>
      <c r="V99" s="1" t="s">
        <v>166</v>
      </c>
      <c r="W99" s="1" t="s">
        <v>167</v>
      </c>
      <c r="X99" s="1" t="s">
        <v>168</v>
      </c>
      <c r="Y99" s="1" t="s">
        <v>169</v>
      </c>
      <c r="Z99" s="1" t="s">
        <v>170</v>
      </c>
    </row>
    <row r="100">
      <c r="T100" s="1" t="s">
        <v>173</v>
      </c>
      <c r="U100" s="11">
        <v>6.563913796E7</v>
      </c>
      <c r="V100" s="18">
        <v>1.0</v>
      </c>
      <c r="W100" s="11">
        <v>6.563913796E7</v>
      </c>
      <c r="X100" s="11">
        <v>1029971.02</v>
      </c>
      <c r="Y100" s="9" t="s">
        <v>181</v>
      </c>
      <c r="Z100" s="10">
        <v>4.038</v>
      </c>
    </row>
    <row r="101">
      <c r="T101" s="1" t="s">
        <v>175</v>
      </c>
      <c r="U101" s="11">
        <v>5538.46</v>
      </c>
      <c r="V101" s="18">
        <v>49.0</v>
      </c>
      <c r="W101" s="10">
        <v>113.03</v>
      </c>
      <c r="X101" s="10">
        <v>1.77</v>
      </c>
      <c r="Y101" s="10">
        <v>0.0211</v>
      </c>
      <c r="Z101" s="10">
        <v>1.607</v>
      </c>
    </row>
    <row r="102">
      <c r="T102" s="1" t="s">
        <v>177</v>
      </c>
      <c r="U102" s="11">
        <v>3122.54</v>
      </c>
      <c r="V102" s="18">
        <v>49.0</v>
      </c>
      <c r="W102" s="10">
        <v>63.73</v>
      </c>
      <c r="X102" s="9"/>
      <c r="Y102" s="9"/>
      <c r="Z102" s="9"/>
    </row>
    <row r="103">
      <c r="T103" s="1" t="s">
        <v>178</v>
      </c>
      <c r="U103" s="11">
        <v>6.564779896E7</v>
      </c>
      <c r="V103" s="18">
        <v>99.0</v>
      </c>
      <c r="W103" s="9"/>
      <c r="X103" s="9"/>
      <c r="Y103" s="9"/>
      <c r="Z103" s="9"/>
    </row>
    <row r="105">
      <c r="S105" s="1" t="s">
        <v>179</v>
      </c>
      <c r="T105" s="1" t="s">
        <v>164</v>
      </c>
      <c r="U105" s="1" t="s">
        <v>165</v>
      </c>
      <c r="V105" s="1" t="s">
        <v>166</v>
      </c>
      <c r="W105" s="1" t="s">
        <v>167</v>
      </c>
      <c r="X105" s="1" t="s">
        <v>168</v>
      </c>
      <c r="Y105" s="1" t="s">
        <v>169</v>
      </c>
      <c r="Z105" s="1" t="s">
        <v>170</v>
      </c>
    </row>
    <row r="106">
      <c r="T106" s="1" t="s">
        <v>173</v>
      </c>
      <c r="U106" s="11">
        <v>6.48374582E7</v>
      </c>
      <c r="V106" s="18">
        <v>1.0</v>
      </c>
      <c r="W106" s="11">
        <v>6.48374582E7</v>
      </c>
      <c r="X106" s="11">
        <v>5372504.6</v>
      </c>
      <c r="Y106" s="9" t="s">
        <v>181</v>
      </c>
      <c r="Z106" s="10">
        <v>4.038</v>
      </c>
    </row>
    <row r="107">
      <c r="T107" s="1" t="s">
        <v>175</v>
      </c>
      <c r="U107" s="11">
        <v>400.41</v>
      </c>
      <c r="V107" s="18">
        <v>49.0</v>
      </c>
      <c r="W107" s="10">
        <v>8.17</v>
      </c>
      <c r="X107" s="10">
        <v>0.68</v>
      </c>
      <c r="Y107" s="10">
        <v>0.9238</v>
      </c>
      <c r="Z107" s="10">
        <v>1.607</v>
      </c>
    </row>
    <row r="108">
      <c r="T108" s="1" t="s">
        <v>177</v>
      </c>
      <c r="U108" s="11">
        <v>591.3</v>
      </c>
      <c r="V108" s="18">
        <v>49.0</v>
      </c>
      <c r="W108" s="10">
        <v>12.07</v>
      </c>
      <c r="X108" s="9"/>
      <c r="Y108" s="9"/>
      <c r="Z108" s="9"/>
    </row>
    <row r="109">
      <c r="T109" s="1" t="s">
        <v>178</v>
      </c>
      <c r="U109" s="11">
        <v>6.483844991E7</v>
      </c>
      <c r="V109" s="18">
        <v>99.0</v>
      </c>
      <c r="W109" s="9"/>
      <c r="X109" s="9"/>
      <c r="Y109" s="9"/>
      <c r="Z109" s="9"/>
    </row>
    <row r="111">
      <c r="S111" s="1" t="s">
        <v>180</v>
      </c>
      <c r="T111" s="1" t="s">
        <v>164</v>
      </c>
      <c r="U111" s="1" t="s">
        <v>165</v>
      </c>
      <c r="V111" s="1" t="s">
        <v>166</v>
      </c>
      <c r="W111" s="1" t="s">
        <v>167</v>
      </c>
      <c r="X111" s="1" t="s">
        <v>168</v>
      </c>
      <c r="Y111" s="1" t="s">
        <v>169</v>
      </c>
      <c r="Z111" s="1" t="s">
        <v>170</v>
      </c>
    </row>
    <row r="112">
      <c r="T112" s="1" t="s">
        <v>173</v>
      </c>
      <c r="U112" s="11">
        <v>6.554846E7</v>
      </c>
      <c r="V112" s="18">
        <v>1.0</v>
      </c>
      <c r="W112" s="11">
        <v>6.554846E7</v>
      </c>
      <c r="X112" s="11">
        <v>2476238.1</v>
      </c>
      <c r="Y112" s="9" t="s">
        <v>181</v>
      </c>
      <c r="Z112" s="10">
        <v>4.038</v>
      </c>
    </row>
    <row r="113">
      <c r="T113" s="1" t="s">
        <v>175</v>
      </c>
      <c r="U113" s="11">
        <v>5212.0</v>
      </c>
      <c r="V113" s="18">
        <v>49.0</v>
      </c>
      <c r="W113" s="10">
        <v>106.37</v>
      </c>
      <c r="X113" s="10">
        <v>4.02</v>
      </c>
      <c r="Y113" s="9" t="s">
        <v>181</v>
      </c>
      <c r="Z113" s="10">
        <v>1.607</v>
      </c>
    </row>
    <row r="114">
      <c r="T114" s="1" t="s">
        <v>177</v>
      </c>
      <c r="U114" s="11">
        <v>1297.0</v>
      </c>
      <c r="V114" s="18">
        <v>49.0</v>
      </c>
      <c r="W114" s="10">
        <v>26.47</v>
      </c>
      <c r="X114" s="9"/>
      <c r="Y114" s="9"/>
      <c r="Z114" s="9"/>
    </row>
    <row r="115">
      <c r="T115" s="1" t="s">
        <v>178</v>
      </c>
      <c r="U115" s="11">
        <v>6.5554969E7</v>
      </c>
      <c r="V115" s="18">
        <v>99.0</v>
      </c>
      <c r="W115" s="9"/>
      <c r="X115" s="9"/>
      <c r="Y115" s="9"/>
      <c r="Z11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4.25"/>
    <col customWidth="1" min="2" max="2" width="3.88"/>
    <col customWidth="1" min="3" max="3" width="3.13"/>
  </cols>
  <sheetData>
    <row r="1">
      <c r="A1" s="1"/>
      <c r="B1" s="1"/>
      <c r="D1" s="2" t="s">
        <v>2</v>
      </c>
      <c r="E1" s="1" t="s">
        <v>5</v>
      </c>
      <c r="G1" s="3">
        <v>202.0</v>
      </c>
      <c r="I1" s="3">
        <v>30.75</v>
      </c>
      <c r="K1" s="3">
        <v>65.0</v>
      </c>
      <c r="M1" s="3">
        <v>21.0</v>
      </c>
      <c r="O1" s="3">
        <v>1668.875</v>
      </c>
      <c r="Q1" s="3">
        <v>53.875</v>
      </c>
      <c r="R1" s="1"/>
      <c r="T1" s="1"/>
      <c r="U1" s="1"/>
    </row>
    <row r="2">
      <c r="A2" s="1"/>
      <c r="B2" s="1"/>
      <c r="D2" s="5" t="s">
        <v>8</v>
      </c>
      <c r="E2" s="1" t="s">
        <v>10</v>
      </c>
      <c r="G2" s="3">
        <v>132.0</v>
      </c>
      <c r="I2" s="3">
        <v>0.75</v>
      </c>
      <c r="K2" s="3">
        <v>33.0</v>
      </c>
      <c r="M2" s="3">
        <v>-3.0</v>
      </c>
      <c r="O2" s="3">
        <v>1649.875</v>
      </c>
      <c r="Q2" s="3">
        <v>42.875</v>
      </c>
      <c r="R2" s="1"/>
      <c r="T2" s="1"/>
      <c r="U2" s="1"/>
    </row>
    <row r="3">
      <c r="A3" s="1" t="s">
        <v>1</v>
      </c>
      <c r="B3" s="1" t="s">
        <v>3</v>
      </c>
      <c r="D3" s="1" t="s">
        <v>4</v>
      </c>
      <c r="F3" s="4" t="s">
        <v>6</v>
      </c>
      <c r="G3" s="1" t="s">
        <v>7</v>
      </c>
      <c r="H3" s="4"/>
      <c r="I3" s="1" t="s">
        <v>9</v>
      </c>
      <c r="J3" s="4"/>
      <c r="K3" s="1" t="s">
        <v>11</v>
      </c>
      <c r="L3" s="4"/>
      <c r="M3" s="1" t="s">
        <v>12</v>
      </c>
      <c r="N3" s="4"/>
      <c r="O3" s="1" t="s">
        <v>13</v>
      </c>
      <c r="P3" s="4"/>
      <c r="Q3" s="1" t="s">
        <v>14</v>
      </c>
      <c r="R3" s="4"/>
    </row>
    <row r="4">
      <c r="B4" s="1">
        <v>2.0</v>
      </c>
      <c r="C4" s="1" t="b">
        <v>1</v>
      </c>
      <c r="D4" s="1" t="s">
        <v>15</v>
      </c>
      <c r="F4" s="4">
        <v>1.0</v>
      </c>
      <c r="G4" s="6">
        <v>162.0</v>
      </c>
      <c r="H4" s="7" t="b">
        <v>1</v>
      </c>
      <c r="I4" s="6">
        <v>18.0</v>
      </c>
      <c r="J4" s="7" t="b">
        <v>1</v>
      </c>
      <c r="K4" s="6">
        <v>45.0</v>
      </c>
      <c r="L4" s="7" t="b">
        <v>1</v>
      </c>
      <c r="M4" s="6">
        <v>10.0</v>
      </c>
      <c r="N4" s="7" t="b">
        <v>1</v>
      </c>
      <c r="O4" s="6">
        <v>1663.0</v>
      </c>
      <c r="P4" s="7" t="b">
        <v>1</v>
      </c>
      <c r="Q4" s="6">
        <v>49.0</v>
      </c>
      <c r="R4" s="7" t="b">
        <v>1</v>
      </c>
    </row>
    <row r="5">
      <c r="B5" s="1">
        <v>3.0</v>
      </c>
      <c r="C5" s="1" t="b">
        <v>1</v>
      </c>
      <c r="D5" s="1" t="s">
        <v>16</v>
      </c>
      <c r="F5" s="4">
        <v>2.0</v>
      </c>
      <c r="G5" s="6">
        <v>187.0</v>
      </c>
      <c r="H5" s="7" t="b">
        <v>1</v>
      </c>
      <c r="I5" s="6">
        <v>21.0</v>
      </c>
      <c r="J5" s="7" t="b">
        <v>1</v>
      </c>
      <c r="K5" s="6">
        <v>45.0</v>
      </c>
      <c r="L5" s="7" t="b">
        <v>1</v>
      </c>
      <c r="M5" s="6">
        <v>16.0</v>
      </c>
      <c r="N5" s="7" t="b">
        <v>1</v>
      </c>
      <c r="O5" s="6">
        <v>1659.0</v>
      </c>
      <c r="P5" s="7" t="b">
        <v>1</v>
      </c>
      <c r="Q5" s="8">
        <v>58.0</v>
      </c>
      <c r="R5" s="7" t="b">
        <v>1</v>
      </c>
    </row>
    <row r="6">
      <c r="B6" s="1">
        <v>6.0</v>
      </c>
      <c r="C6" s="1" t="b">
        <v>1</v>
      </c>
      <c r="D6" s="1" t="s">
        <v>17</v>
      </c>
      <c r="F6" s="4">
        <v>3.0</v>
      </c>
      <c r="G6" s="6">
        <v>147.0</v>
      </c>
      <c r="H6" s="7" t="b">
        <v>1</v>
      </c>
      <c r="I6" s="6">
        <v>20.0</v>
      </c>
      <c r="J6" s="7" t="b">
        <v>1</v>
      </c>
      <c r="K6" s="6">
        <v>47.0</v>
      </c>
      <c r="L6" s="7" t="b">
        <v>1</v>
      </c>
      <c r="M6" s="6">
        <v>12.0</v>
      </c>
      <c r="N6" s="7" t="b">
        <v>1</v>
      </c>
      <c r="O6" s="6">
        <v>1662.0</v>
      </c>
      <c r="P6" s="7" t="b">
        <v>1</v>
      </c>
      <c r="Q6" s="6">
        <v>48.0</v>
      </c>
      <c r="R6" s="7" t="b">
        <v>1</v>
      </c>
    </row>
    <row r="7">
      <c r="B7" s="1">
        <v>9.0</v>
      </c>
      <c r="C7" s="1" t="b">
        <v>1</v>
      </c>
      <c r="D7" s="1" t="s">
        <v>18</v>
      </c>
      <c r="F7" s="4">
        <v>4.0</v>
      </c>
      <c r="G7" s="6">
        <v>153.0</v>
      </c>
      <c r="H7" s="7" t="b">
        <v>1</v>
      </c>
      <c r="I7" s="6">
        <v>15.0</v>
      </c>
      <c r="J7" s="7" t="b">
        <v>1</v>
      </c>
      <c r="K7" s="6">
        <v>56.0</v>
      </c>
      <c r="L7" s="7" t="b">
        <v>1</v>
      </c>
      <c r="M7" s="6">
        <v>10.0</v>
      </c>
      <c r="N7" s="7" t="b">
        <v>1</v>
      </c>
      <c r="O7" s="6">
        <v>1660.0</v>
      </c>
      <c r="P7" s="7" t="b">
        <v>1</v>
      </c>
      <c r="Q7" s="6">
        <v>47.0</v>
      </c>
      <c r="R7" s="7" t="b">
        <v>1</v>
      </c>
    </row>
    <row r="8">
      <c r="B8" s="1">
        <v>16.0</v>
      </c>
      <c r="C8" s="1" t="b">
        <v>1</v>
      </c>
      <c r="D8" s="1" t="s">
        <v>19</v>
      </c>
      <c r="F8" s="4">
        <v>5.0</v>
      </c>
      <c r="G8" s="6">
        <v>153.0</v>
      </c>
      <c r="H8" s="7" t="b">
        <v>1</v>
      </c>
      <c r="I8" s="6">
        <v>8.0</v>
      </c>
      <c r="J8" s="7" t="b">
        <v>1</v>
      </c>
      <c r="K8" s="6">
        <v>41.0</v>
      </c>
      <c r="L8" s="7" t="b">
        <v>1</v>
      </c>
      <c r="M8" s="6">
        <v>5.0</v>
      </c>
      <c r="N8" s="7" t="b">
        <v>1</v>
      </c>
      <c r="O8" s="6">
        <v>1663.0</v>
      </c>
      <c r="P8" s="7" t="b">
        <v>1</v>
      </c>
      <c r="Q8" s="6">
        <v>46.0</v>
      </c>
      <c r="R8" s="7" t="b">
        <v>1</v>
      </c>
    </row>
    <row r="9">
      <c r="B9" s="1">
        <v>22.0</v>
      </c>
      <c r="C9" s="1" t="b">
        <v>1</v>
      </c>
      <c r="D9" s="1" t="s">
        <v>20</v>
      </c>
      <c r="F9" s="4">
        <v>6.0</v>
      </c>
      <c r="G9" s="6">
        <v>195.0</v>
      </c>
      <c r="H9" s="7" t="b">
        <v>1</v>
      </c>
      <c r="I9" s="6">
        <v>10.0</v>
      </c>
      <c r="J9" s="7" t="b">
        <v>1</v>
      </c>
      <c r="K9" s="6">
        <v>48.0</v>
      </c>
      <c r="L9" s="7" t="b">
        <v>1</v>
      </c>
      <c r="M9" s="6">
        <v>7.0</v>
      </c>
      <c r="N9" s="7" t="b">
        <v>1</v>
      </c>
      <c r="O9" s="6">
        <v>1663.0</v>
      </c>
      <c r="P9" s="7" t="b">
        <v>1</v>
      </c>
      <c r="Q9" s="6">
        <v>46.0</v>
      </c>
      <c r="R9" s="7" t="b">
        <v>1</v>
      </c>
    </row>
    <row r="10">
      <c r="B10" s="1">
        <v>27.0</v>
      </c>
      <c r="C10" s="1" t="b">
        <v>1</v>
      </c>
      <c r="D10" s="1" t="s">
        <v>21</v>
      </c>
      <c r="F10" s="4">
        <v>7.0</v>
      </c>
      <c r="G10" s="6">
        <v>155.0</v>
      </c>
      <c r="H10" s="7" t="b">
        <v>1</v>
      </c>
      <c r="I10" s="6">
        <v>15.0</v>
      </c>
      <c r="J10" s="7" t="b">
        <v>1</v>
      </c>
      <c r="K10" s="6">
        <v>48.0</v>
      </c>
      <c r="L10" s="7" t="b">
        <v>1</v>
      </c>
      <c r="M10" s="6">
        <v>10.0</v>
      </c>
      <c r="N10" s="7" t="b">
        <v>1</v>
      </c>
      <c r="O10" s="6">
        <v>1660.0</v>
      </c>
      <c r="P10" s="7" t="b">
        <v>1</v>
      </c>
      <c r="Q10" s="6">
        <v>48.0</v>
      </c>
      <c r="R10" s="7" t="b">
        <v>1</v>
      </c>
    </row>
    <row r="11">
      <c r="B11" s="1">
        <v>31.0</v>
      </c>
      <c r="C11" s="1" t="b">
        <v>1</v>
      </c>
      <c r="D11" s="1" t="s">
        <v>22</v>
      </c>
      <c r="F11" s="4">
        <v>8.0</v>
      </c>
      <c r="G11" s="6">
        <v>185.0</v>
      </c>
      <c r="H11" s="7" t="b">
        <v>1</v>
      </c>
      <c r="I11" s="6">
        <v>12.0</v>
      </c>
      <c r="J11" s="7" t="b">
        <v>1</v>
      </c>
      <c r="K11" s="6">
        <v>46.0</v>
      </c>
      <c r="L11" s="7" t="b">
        <v>1</v>
      </c>
      <c r="M11" s="6">
        <v>5.0</v>
      </c>
      <c r="N11" s="7" t="b">
        <v>1</v>
      </c>
      <c r="O11" s="6">
        <v>1661.0</v>
      </c>
      <c r="P11" s="7" t="b">
        <v>1</v>
      </c>
      <c r="Q11" s="6">
        <v>47.0</v>
      </c>
      <c r="R11" s="7" t="b">
        <v>1</v>
      </c>
    </row>
    <row r="12">
      <c r="B12" s="1">
        <v>32.0</v>
      </c>
      <c r="C12" s="1" t="b">
        <v>1</v>
      </c>
      <c r="D12" s="1" t="s">
        <v>23</v>
      </c>
      <c r="F12" s="4">
        <v>9.0</v>
      </c>
      <c r="G12" s="6">
        <v>165.0</v>
      </c>
      <c r="H12" s="7" t="b">
        <v>1</v>
      </c>
      <c r="I12" s="6">
        <v>15.0</v>
      </c>
      <c r="J12" s="7" t="b">
        <v>1</v>
      </c>
      <c r="K12" s="6">
        <v>51.0</v>
      </c>
      <c r="L12" s="7" t="b">
        <v>1</v>
      </c>
      <c r="M12" s="6">
        <v>13.0</v>
      </c>
      <c r="N12" s="7" t="b">
        <v>1</v>
      </c>
      <c r="O12" s="6">
        <v>1657.0</v>
      </c>
      <c r="P12" s="7" t="b">
        <v>1</v>
      </c>
      <c r="Q12" s="6">
        <v>49.0</v>
      </c>
      <c r="R12" s="7" t="b">
        <v>1</v>
      </c>
    </row>
    <row r="13">
      <c r="B13" s="1">
        <v>35.0</v>
      </c>
      <c r="C13" s="1" t="b">
        <v>1</v>
      </c>
      <c r="D13" s="1" t="s">
        <v>24</v>
      </c>
      <c r="F13" s="4">
        <v>10.0</v>
      </c>
      <c r="G13" s="6">
        <v>176.0</v>
      </c>
      <c r="H13" s="7" t="b">
        <v>1</v>
      </c>
      <c r="I13" s="6">
        <v>9.0</v>
      </c>
      <c r="J13" s="7" t="b">
        <v>1</v>
      </c>
      <c r="K13" s="6">
        <v>43.0</v>
      </c>
      <c r="L13" s="7" t="b">
        <v>1</v>
      </c>
      <c r="M13" s="6">
        <v>7.0</v>
      </c>
      <c r="N13" s="7" t="b">
        <v>1</v>
      </c>
      <c r="O13" s="6">
        <v>1663.0</v>
      </c>
      <c r="P13" s="7" t="b">
        <v>1</v>
      </c>
      <c r="Q13" s="6">
        <v>47.0</v>
      </c>
      <c r="R13" s="7" t="b">
        <v>1</v>
      </c>
    </row>
    <row r="14">
      <c r="B14" s="1">
        <v>37.0</v>
      </c>
      <c r="C14" s="1" t="b">
        <v>1</v>
      </c>
      <c r="D14" s="1" t="s">
        <v>25</v>
      </c>
      <c r="F14" s="4">
        <v>11.0</v>
      </c>
      <c r="G14" s="6">
        <v>157.0</v>
      </c>
      <c r="H14" s="7" t="b">
        <v>1</v>
      </c>
      <c r="I14" s="6">
        <v>16.0</v>
      </c>
      <c r="J14" s="7" t="b">
        <v>1</v>
      </c>
      <c r="K14" s="6">
        <v>54.0</v>
      </c>
      <c r="L14" s="7" t="b">
        <v>1</v>
      </c>
      <c r="M14" s="6">
        <v>6.0</v>
      </c>
      <c r="N14" s="7" t="b">
        <v>1</v>
      </c>
      <c r="O14" s="6">
        <v>1659.0</v>
      </c>
      <c r="P14" s="7" t="b">
        <v>1</v>
      </c>
      <c r="Q14" s="6">
        <v>45.0</v>
      </c>
      <c r="R14" s="7" t="b">
        <v>1</v>
      </c>
    </row>
    <row r="15">
      <c r="B15" s="1">
        <v>43.0</v>
      </c>
      <c r="C15" s="1" t="b">
        <v>1</v>
      </c>
      <c r="D15" s="1" t="s">
        <v>26</v>
      </c>
      <c r="F15" s="4">
        <v>12.0</v>
      </c>
      <c r="G15" s="6">
        <v>163.0</v>
      </c>
      <c r="H15" s="7" t="b">
        <v>1</v>
      </c>
      <c r="I15" s="6">
        <v>15.0</v>
      </c>
      <c r="J15" s="7" t="b">
        <v>1</v>
      </c>
      <c r="K15" s="6">
        <v>47.0</v>
      </c>
      <c r="L15" s="7" t="b">
        <v>1</v>
      </c>
      <c r="M15" s="6">
        <v>12.0</v>
      </c>
      <c r="N15" s="7" t="b">
        <v>1</v>
      </c>
      <c r="O15" s="6">
        <v>1663.0</v>
      </c>
      <c r="P15" s="7" t="b">
        <v>1</v>
      </c>
      <c r="Q15" s="6">
        <v>47.0</v>
      </c>
      <c r="R15" s="7" t="b">
        <v>1</v>
      </c>
    </row>
    <row r="16">
      <c r="B16" s="1">
        <v>57.0</v>
      </c>
      <c r="C16" s="1" t="b">
        <v>1</v>
      </c>
      <c r="D16" s="1" t="s">
        <v>27</v>
      </c>
      <c r="F16" s="4">
        <v>13.0</v>
      </c>
      <c r="G16" s="8">
        <v>243.0</v>
      </c>
      <c r="H16" s="7" t="b">
        <v>1</v>
      </c>
      <c r="I16" s="6">
        <v>28.0</v>
      </c>
      <c r="J16" s="7" t="b">
        <v>1</v>
      </c>
      <c r="K16" s="6">
        <v>44.0</v>
      </c>
      <c r="L16" s="7" t="b">
        <v>1</v>
      </c>
      <c r="M16" s="6">
        <v>9.0</v>
      </c>
      <c r="N16" s="7" t="b">
        <v>1</v>
      </c>
      <c r="O16" s="6">
        <v>1656.0</v>
      </c>
      <c r="P16" s="7" t="b">
        <v>1</v>
      </c>
      <c r="Q16" s="6">
        <v>50.0</v>
      </c>
      <c r="R16" s="7" t="b">
        <v>1</v>
      </c>
    </row>
    <row r="17">
      <c r="B17" s="1">
        <v>60.0</v>
      </c>
      <c r="C17" s="1" t="b">
        <v>1</v>
      </c>
      <c r="D17" s="1" t="s">
        <v>28</v>
      </c>
      <c r="F17" s="4">
        <v>14.0</v>
      </c>
      <c r="G17" s="6">
        <v>157.0</v>
      </c>
      <c r="H17" s="7" t="b">
        <v>1</v>
      </c>
      <c r="I17" s="8">
        <v>31.0</v>
      </c>
      <c r="J17" s="7" t="b">
        <v>1</v>
      </c>
      <c r="K17" s="6">
        <v>57.0</v>
      </c>
      <c r="L17" s="7" t="b">
        <v>1</v>
      </c>
      <c r="M17" s="6">
        <v>16.0</v>
      </c>
      <c r="N17" s="7" t="b">
        <v>1</v>
      </c>
      <c r="O17" s="6">
        <v>1657.0</v>
      </c>
      <c r="P17" s="7" t="b">
        <v>1</v>
      </c>
      <c r="Q17" s="8">
        <v>57.0</v>
      </c>
      <c r="R17" s="7" t="b">
        <v>1</v>
      </c>
    </row>
    <row r="18">
      <c r="B18" s="1">
        <v>61.0</v>
      </c>
      <c r="C18" s="1" t="b">
        <v>1</v>
      </c>
      <c r="D18" s="1" t="s">
        <v>29</v>
      </c>
      <c r="F18" s="4">
        <v>15.0</v>
      </c>
      <c r="G18" s="6">
        <v>164.0</v>
      </c>
      <c r="H18" s="7" t="b">
        <v>1</v>
      </c>
      <c r="I18" s="6">
        <v>10.0</v>
      </c>
      <c r="J18" s="7" t="b">
        <v>1</v>
      </c>
      <c r="K18" s="6">
        <v>56.0</v>
      </c>
      <c r="L18" s="7" t="b">
        <v>1</v>
      </c>
      <c r="M18" s="6">
        <v>5.0</v>
      </c>
      <c r="N18" s="7" t="b">
        <v>1</v>
      </c>
      <c r="O18" s="6">
        <v>1664.0</v>
      </c>
      <c r="P18" s="7" t="b">
        <v>1</v>
      </c>
      <c r="Q18" s="6">
        <v>46.0</v>
      </c>
      <c r="R18" s="7" t="b">
        <v>1</v>
      </c>
    </row>
    <row r="19">
      <c r="B19" s="1">
        <v>62.0</v>
      </c>
      <c r="C19" s="1" t="b">
        <v>1</v>
      </c>
      <c r="D19" s="1" t="s">
        <v>31</v>
      </c>
      <c r="F19" s="4">
        <v>16.0</v>
      </c>
      <c r="G19" s="6">
        <v>157.0</v>
      </c>
      <c r="H19" s="7" t="b">
        <v>1</v>
      </c>
      <c r="I19" s="6">
        <v>12.0</v>
      </c>
      <c r="J19" s="7" t="b">
        <v>1</v>
      </c>
      <c r="K19" s="6">
        <v>58.0</v>
      </c>
      <c r="L19" s="7" t="b">
        <v>1</v>
      </c>
      <c r="M19" s="6">
        <v>7.0</v>
      </c>
      <c r="N19" s="7" t="b">
        <v>1</v>
      </c>
      <c r="O19" s="6">
        <v>1661.0</v>
      </c>
      <c r="P19" s="7" t="b">
        <v>1</v>
      </c>
      <c r="Q19" s="6">
        <v>46.0</v>
      </c>
      <c r="R19" s="7" t="b">
        <v>1</v>
      </c>
    </row>
    <row r="20">
      <c r="B20" s="1">
        <v>64.0</v>
      </c>
      <c r="C20" s="1" t="b">
        <v>1</v>
      </c>
      <c r="D20" s="1" t="s">
        <v>38</v>
      </c>
      <c r="F20" s="4">
        <v>17.0</v>
      </c>
      <c r="G20" s="6">
        <v>178.0</v>
      </c>
      <c r="H20" s="7" t="b">
        <v>1</v>
      </c>
      <c r="I20" s="6">
        <v>9.0</v>
      </c>
      <c r="J20" s="7" t="b">
        <v>1</v>
      </c>
      <c r="K20" s="6">
        <v>45.0</v>
      </c>
      <c r="L20" s="7" t="b">
        <v>1</v>
      </c>
      <c r="M20" s="6">
        <v>7.0</v>
      </c>
      <c r="N20" s="7" t="b">
        <v>1</v>
      </c>
      <c r="O20" s="6">
        <v>1660.0</v>
      </c>
      <c r="P20" s="7" t="b">
        <v>1</v>
      </c>
      <c r="Q20" s="6">
        <v>46.0</v>
      </c>
      <c r="R20" s="7" t="b">
        <v>1</v>
      </c>
    </row>
    <row r="21">
      <c r="B21" s="1">
        <v>71.0</v>
      </c>
      <c r="C21" s="1" t="b">
        <v>1</v>
      </c>
      <c r="D21" s="1" t="s">
        <v>39</v>
      </c>
      <c r="F21" s="4">
        <v>18.0</v>
      </c>
      <c r="G21" s="6">
        <v>177.0</v>
      </c>
      <c r="H21" s="7" t="b">
        <v>1</v>
      </c>
      <c r="I21" s="6">
        <v>21.0</v>
      </c>
      <c r="J21" s="7" t="b">
        <v>1</v>
      </c>
      <c r="K21" s="6">
        <v>47.0</v>
      </c>
      <c r="L21" s="7" t="b">
        <v>1</v>
      </c>
      <c r="M21" s="6">
        <v>16.0</v>
      </c>
      <c r="N21" s="7" t="b">
        <v>1</v>
      </c>
      <c r="O21" s="6">
        <v>1664.0</v>
      </c>
      <c r="P21" s="7" t="b">
        <v>1</v>
      </c>
      <c r="Q21" s="6">
        <v>53.0</v>
      </c>
      <c r="R21" s="7" t="b">
        <v>1</v>
      </c>
    </row>
    <row r="22">
      <c r="B22" s="1">
        <v>74.0</v>
      </c>
      <c r="C22" s="1" t="b">
        <v>1</v>
      </c>
      <c r="D22" s="1" t="s">
        <v>42</v>
      </c>
      <c r="F22" s="4">
        <v>19.0</v>
      </c>
      <c r="G22" s="6">
        <v>165.0</v>
      </c>
      <c r="H22" s="7" t="b">
        <v>1</v>
      </c>
      <c r="I22" s="6">
        <v>18.0</v>
      </c>
      <c r="J22" s="7" t="b">
        <v>1</v>
      </c>
      <c r="K22" s="6">
        <v>45.0</v>
      </c>
      <c r="L22" s="7" t="b">
        <v>1</v>
      </c>
      <c r="M22" s="6">
        <v>17.0</v>
      </c>
      <c r="N22" s="7" t="b">
        <v>1</v>
      </c>
      <c r="O22" s="6">
        <v>1658.0</v>
      </c>
      <c r="P22" s="7" t="b">
        <v>1</v>
      </c>
      <c r="Q22" s="6">
        <v>49.0</v>
      </c>
      <c r="R22" s="7" t="b">
        <v>1</v>
      </c>
    </row>
    <row r="23">
      <c r="B23" s="1">
        <v>75.0</v>
      </c>
      <c r="C23" s="1" t="b">
        <v>1</v>
      </c>
      <c r="D23" s="1" t="s">
        <v>43</v>
      </c>
      <c r="F23" s="4">
        <v>20.0</v>
      </c>
      <c r="G23" s="6">
        <v>167.0</v>
      </c>
      <c r="H23" s="7" t="b">
        <v>1</v>
      </c>
      <c r="I23" s="6">
        <v>10.0</v>
      </c>
      <c r="J23" s="7" t="b">
        <v>1</v>
      </c>
      <c r="K23" s="6">
        <v>64.0</v>
      </c>
      <c r="L23" s="7" t="b">
        <v>1</v>
      </c>
      <c r="M23" s="6">
        <v>6.0</v>
      </c>
      <c r="N23" s="7" t="b">
        <v>1</v>
      </c>
      <c r="O23" s="6">
        <v>1659.0</v>
      </c>
      <c r="P23" s="7" t="b">
        <v>1</v>
      </c>
      <c r="Q23" s="6">
        <v>46.0</v>
      </c>
      <c r="R23" s="7" t="b">
        <v>1</v>
      </c>
    </row>
    <row r="24">
      <c r="B24" s="1">
        <v>79.0</v>
      </c>
      <c r="C24" s="1" t="b">
        <v>1</v>
      </c>
      <c r="D24" s="1" t="s">
        <v>45</v>
      </c>
      <c r="F24" s="4">
        <v>21.0</v>
      </c>
      <c r="G24" s="6">
        <v>164.0</v>
      </c>
      <c r="H24" s="7" t="b">
        <v>1</v>
      </c>
      <c r="I24" s="6">
        <v>15.0</v>
      </c>
      <c r="J24" s="7" t="b">
        <v>1</v>
      </c>
      <c r="K24" s="6">
        <v>48.0</v>
      </c>
      <c r="L24" s="7" t="b">
        <v>1</v>
      </c>
      <c r="M24" s="6">
        <v>10.0</v>
      </c>
      <c r="N24" s="7" t="b">
        <v>1</v>
      </c>
      <c r="O24" s="6">
        <v>1663.0</v>
      </c>
      <c r="P24" s="7" t="b">
        <v>1</v>
      </c>
      <c r="Q24" s="6">
        <v>49.0</v>
      </c>
      <c r="R24" s="7" t="b">
        <v>1</v>
      </c>
    </row>
    <row r="25">
      <c r="B25" s="1">
        <v>81.0</v>
      </c>
      <c r="C25" s="1" t="b">
        <v>1</v>
      </c>
      <c r="D25" s="1" t="s">
        <v>47</v>
      </c>
      <c r="F25" s="4">
        <v>22.0</v>
      </c>
      <c r="G25" s="6">
        <v>160.0</v>
      </c>
      <c r="H25" s="7" t="b">
        <v>1</v>
      </c>
      <c r="I25" s="6">
        <v>6.0</v>
      </c>
      <c r="J25" s="7" t="b">
        <v>1</v>
      </c>
      <c r="K25" s="6">
        <v>53.0</v>
      </c>
      <c r="L25" s="7" t="b">
        <v>1</v>
      </c>
      <c r="M25" s="6">
        <v>5.0</v>
      </c>
      <c r="N25" s="7" t="b">
        <v>1</v>
      </c>
      <c r="O25" s="6">
        <v>1662.0</v>
      </c>
      <c r="P25" s="7" t="b">
        <v>1</v>
      </c>
      <c r="Q25" s="6">
        <v>46.0</v>
      </c>
      <c r="R25" s="7" t="b">
        <v>1</v>
      </c>
    </row>
    <row r="26">
      <c r="B26" s="1">
        <v>82.0</v>
      </c>
      <c r="C26" s="1" t="b">
        <v>1</v>
      </c>
      <c r="D26" s="1" t="s">
        <v>48</v>
      </c>
      <c r="F26" s="4">
        <v>23.0</v>
      </c>
      <c r="G26" s="6">
        <v>175.0</v>
      </c>
      <c r="H26" s="7" t="b">
        <v>1</v>
      </c>
      <c r="I26" s="6">
        <v>11.0</v>
      </c>
      <c r="J26" s="7" t="b">
        <v>1</v>
      </c>
      <c r="K26" s="6">
        <v>51.0</v>
      </c>
      <c r="L26" s="7" t="b">
        <v>1</v>
      </c>
      <c r="M26" s="6">
        <v>4.0</v>
      </c>
      <c r="N26" s="7" t="b">
        <v>1</v>
      </c>
      <c r="O26" s="6">
        <v>1661.0</v>
      </c>
      <c r="P26" s="7" t="b">
        <v>1</v>
      </c>
      <c r="Q26" s="6">
        <v>47.0</v>
      </c>
      <c r="R26" s="7" t="b">
        <v>1</v>
      </c>
    </row>
    <row r="27">
      <c r="B27" s="1">
        <v>89.0</v>
      </c>
      <c r="C27" s="1" t="b">
        <v>1</v>
      </c>
      <c r="D27" s="1" t="s">
        <v>49</v>
      </c>
      <c r="F27" s="4">
        <v>24.0</v>
      </c>
      <c r="G27" s="6">
        <v>177.0</v>
      </c>
      <c r="H27" s="7" t="b">
        <v>1</v>
      </c>
      <c r="I27" s="6">
        <v>13.0</v>
      </c>
      <c r="J27" s="7" t="b">
        <v>1</v>
      </c>
      <c r="K27" s="6">
        <v>54.0</v>
      </c>
      <c r="L27" s="7" t="b">
        <v>1</v>
      </c>
      <c r="M27" s="6">
        <v>5.0</v>
      </c>
      <c r="N27" s="7" t="b">
        <v>1</v>
      </c>
      <c r="O27" s="6">
        <v>1658.0</v>
      </c>
      <c r="P27" s="7" t="b">
        <v>1</v>
      </c>
      <c r="Q27" s="6">
        <v>47.0</v>
      </c>
      <c r="R27" s="7" t="b">
        <v>1</v>
      </c>
    </row>
    <row r="28">
      <c r="B28" s="1">
        <v>93.0</v>
      </c>
      <c r="C28" s="1" t="b">
        <v>1</v>
      </c>
      <c r="D28" s="1" t="s">
        <v>51</v>
      </c>
      <c r="F28" s="4">
        <v>25.0</v>
      </c>
      <c r="G28" s="6">
        <v>159.0</v>
      </c>
      <c r="H28" s="7" t="b">
        <v>1</v>
      </c>
      <c r="I28" s="6">
        <v>20.0</v>
      </c>
      <c r="J28" s="7" t="b">
        <v>1</v>
      </c>
      <c r="K28" s="6">
        <v>53.0</v>
      </c>
      <c r="L28" s="7" t="b">
        <v>1</v>
      </c>
      <c r="M28" s="6">
        <v>13.0</v>
      </c>
      <c r="N28" s="7" t="b">
        <v>1</v>
      </c>
      <c r="O28" s="6">
        <v>1662.0</v>
      </c>
      <c r="P28" s="7" t="b">
        <v>1</v>
      </c>
      <c r="Q28" s="6">
        <v>13.0</v>
      </c>
      <c r="R28" s="7" t="b">
        <v>1</v>
      </c>
    </row>
    <row r="29">
      <c r="B29" s="1">
        <v>96.0</v>
      </c>
      <c r="C29" s="1" t="b">
        <v>1</v>
      </c>
      <c r="D29" s="1" t="s">
        <v>52</v>
      </c>
      <c r="F29" s="4">
        <v>26.0</v>
      </c>
      <c r="G29" s="6">
        <v>163.0</v>
      </c>
      <c r="H29" s="7" t="b">
        <v>1</v>
      </c>
      <c r="I29" s="6">
        <v>8.0</v>
      </c>
      <c r="J29" s="7" t="b">
        <v>1</v>
      </c>
      <c r="K29" s="6">
        <v>45.0</v>
      </c>
      <c r="L29" s="7" t="b">
        <v>1</v>
      </c>
      <c r="M29" s="6">
        <v>7.0</v>
      </c>
      <c r="N29" s="7" t="b">
        <v>1</v>
      </c>
      <c r="O29" s="6">
        <v>1656.0</v>
      </c>
      <c r="P29" s="7" t="b">
        <v>1</v>
      </c>
      <c r="Q29" s="6">
        <v>47.0</v>
      </c>
      <c r="R29" s="7" t="b">
        <v>1</v>
      </c>
    </row>
    <row r="30">
      <c r="B30" s="1">
        <v>100.0</v>
      </c>
      <c r="C30" s="1" t="b">
        <v>1</v>
      </c>
      <c r="D30" s="1" t="s">
        <v>53</v>
      </c>
      <c r="F30" s="4">
        <v>27.0</v>
      </c>
      <c r="G30" s="6">
        <v>186.0</v>
      </c>
      <c r="H30" s="7" t="b">
        <v>1</v>
      </c>
      <c r="I30" s="6">
        <v>20.0</v>
      </c>
      <c r="J30" s="7" t="b">
        <v>1</v>
      </c>
      <c r="K30" s="6">
        <v>50.0</v>
      </c>
      <c r="L30" s="7" t="b">
        <v>1</v>
      </c>
      <c r="M30" s="6">
        <v>14.0</v>
      </c>
      <c r="N30" s="7" t="b">
        <v>1</v>
      </c>
      <c r="O30" s="6">
        <v>1659.0</v>
      </c>
      <c r="P30" s="7" t="b">
        <v>1</v>
      </c>
      <c r="Q30" s="6">
        <v>50.0</v>
      </c>
      <c r="R30" s="7" t="b">
        <v>1</v>
      </c>
    </row>
    <row r="31">
      <c r="B31" s="1">
        <v>111.0</v>
      </c>
      <c r="C31" s="1" t="b">
        <v>1</v>
      </c>
      <c r="D31" s="1" t="s">
        <v>54</v>
      </c>
      <c r="F31" s="4">
        <v>28.0</v>
      </c>
      <c r="G31" s="6">
        <v>167.0</v>
      </c>
      <c r="H31" s="7" t="b">
        <v>1</v>
      </c>
      <c r="I31" s="6">
        <v>14.0</v>
      </c>
      <c r="J31" s="7" t="b">
        <v>1</v>
      </c>
      <c r="K31" s="6">
        <v>62.0</v>
      </c>
      <c r="L31" s="7" t="b">
        <v>1</v>
      </c>
      <c r="M31" s="6">
        <v>9.0</v>
      </c>
      <c r="N31" s="7" t="b">
        <v>1</v>
      </c>
      <c r="O31" s="6">
        <v>1650.0</v>
      </c>
      <c r="P31" s="7" t="b">
        <v>1</v>
      </c>
      <c r="Q31" s="6">
        <v>48.0</v>
      </c>
      <c r="R31" s="7" t="b">
        <v>1</v>
      </c>
    </row>
    <row r="32">
      <c r="B32" s="1">
        <v>112.0</v>
      </c>
      <c r="C32" s="1" t="b">
        <v>1</v>
      </c>
      <c r="D32" s="1" t="s">
        <v>56</v>
      </c>
      <c r="F32" s="4">
        <v>29.0</v>
      </c>
      <c r="G32" s="6">
        <v>169.0</v>
      </c>
      <c r="H32" s="7" t="b">
        <v>1</v>
      </c>
      <c r="I32" s="8">
        <v>36.0</v>
      </c>
      <c r="J32" s="7" t="b">
        <v>1</v>
      </c>
      <c r="K32" s="6">
        <v>53.0</v>
      </c>
      <c r="L32" s="7" t="b">
        <v>1</v>
      </c>
      <c r="M32" s="8">
        <v>23.0</v>
      </c>
      <c r="N32" s="7" t="b">
        <v>1</v>
      </c>
      <c r="O32" s="6">
        <v>1652.0</v>
      </c>
      <c r="P32" s="7" t="b">
        <v>1</v>
      </c>
      <c r="Q32" s="8">
        <v>65.0</v>
      </c>
      <c r="R32" s="7" t="b">
        <v>1</v>
      </c>
    </row>
    <row r="33">
      <c r="B33" s="1">
        <v>115.0</v>
      </c>
      <c r="C33" s="1" t="b">
        <v>1</v>
      </c>
      <c r="D33" s="1" t="s">
        <v>57</v>
      </c>
      <c r="F33" s="4">
        <v>30.0</v>
      </c>
      <c r="G33" s="6">
        <v>148.0</v>
      </c>
      <c r="H33" s="7" t="b">
        <v>1</v>
      </c>
      <c r="I33" s="6">
        <v>8.0</v>
      </c>
      <c r="J33" s="7" t="b">
        <v>1</v>
      </c>
      <c r="K33" s="6">
        <v>43.0</v>
      </c>
      <c r="L33" s="7" t="b">
        <v>1</v>
      </c>
      <c r="M33" s="6">
        <v>6.0</v>
      </c>
      <c r="N33" s="7" t="b">
        <v>1</v>
      </c>
      <c r="O33" s="6">
        <v>1659.0</v>
      </c>
      <c r="P33" s="7" t="b">
        <v>1</v>
      </c>
      <c r="Q33" s="6">
        <v>45.0</v>
      </c>
      <c r="R33" s="7" t="b">
        <v>1</v>
      </c>
    </row>
    <row r="34">
      <c r="B34" s="1">
        <v>117.0</v>
      </c>
      <c r="C34" s="1" t="b">
        <v>1</v>
      </c>
      <c r="D34" s="1" t="s">
        <v>58</v>
      </c>
      <c r="F34" s="4">
        <v>31.0</v>
      </c>
      <c r="G34" s="6">
        <v>171.0</v>
      </c>
      <c r="H34" s="7" t="b">
        <v>1</v>
      </c>
      <c r="I34" s="6">
        <v>12.0</v>
      </c>
      <c r="J34" s="7" t="b">
        <v>1</v>
      </c>
      <c r="K34" s="6">
        <v>53.0</v>
      </c>
      <c r="L34" s="7" t="b">
        <v>1</v>
      </c>
      <c r="M34" s="6">
        <v>6.0</v>
      </c>
      <c r="N34" s="7" t="b">
        <v>1</v>
      </c>
      <c r="O34" s="6">
        <v>1659.0</v>
      </c>
      <c r="P34" s="7" t="b">
        <v>1</v>
      </c>
      <c r="Q34" s="6">
        <v>47.0</v>
      </c>
      <c r="R34" s="7" t="b">
        <v>1</v>
      </c>
    </row>
    <row r="35">
      <c r="B35" s="1">
        <v>118.0</v>
      </c>
      <c r="C35" s="1" t="b">
        <v>1</v>
      </c>
      <c r="D35" s="1" t="s">
        <v>59</v>
      </c>
      <c r="F35" s="4">
        <v>32.0</v>
      </c>
      <c r="G35" s="6">
        <v>158.0</v>
      </c>
      <c r="H35" s="7" t="b">
        <v>1</v>
      </c>
      <c r="I35" s="8">
        <v>34.0</v>
      </c>
      <c r="J35" s="7" t="b">
        <v>1</v>
      </c>
      <c r="K35" s="6">
        <v>45.0</v>
      </c>
      <c r="L35" s="7" t="b">
        <v>1</v>
      </c>
      <c r="M35" s="6">
        <v>15.0</v>
      </c>
      <c r="N35" s="7" t="b">
        <v>1</v>
      </c>
      <c r="O35" s="6">
        <v>1650.0</v>
      </c>
      <c r="P35" s="7" t="b">
        <v>1</v>
      </c>
      <c r="Q35" s="8">
        <v>58.0</v>
      </c>
      <c r="R35" s="7" t="b">
        <v>1</v>
      </c>
    </row>
    <row r="36">
      <c r="B36" s="1">
        <v>119.0</v>
      </c>
      <c r="C36" s="1" t="b">
        <v>1</v>
      </c>
      <c r="D36" s="1" t="s">
        <v>60</v>
      </c>
      <c r="F36" s="4">
        <v>33.0</v>
      </c>
      <c r="G36" s="6">
        <v>167.0</v>
      </c>
      <c r="H36" s="7" t="b">
        <v>1</v>
      </c>
      <c r="I36" s="6">
        <v>23.0</v>
      </c>
      <c r="J36" s="7" t="b">
        <v>1</v>
      </c>
      <c r="K36" s="6">
        <v>47.0</v>
      </c>
      <c r="L36" s="7" t="b">
        <v>1</v>
      </c>
      <c r="M36" s="6">
        <v>12.0</v>
      </c>
      <c r="N36" s="7" t="b">
        <v>1</v>
      </c>
      <c r="O36" s="6">
        <v>1652.0</v>
      </c>
      <c r="P36" s="7" t="b">
        <v>1</v>
      </c>
      <c r="Q36" s="6">
        <v>49.0</v>
      </c>
      <c r="R36" s="7" t="b">
        <v>1</v>
      </c>
    </row>
    <row r="37">
      <c r="B37" s="1">
        <v>122.0</v>
      </c>
      <c r="C37" s="1" t="b">
        <v>1</v>
      </c>
      <c r="D37" s="1" t="s">
        <v>61</v>
      </c>
      <c r="F37" s="4">
        <v>34.0</v>
      </c>
      <c r="G37" s="6">
        <v>164.0</v>
      </c>
      <c r="H37" s="7" t="b">
        <v>1</v>
      </c>
      <c r="I37" s="6">
        <v>16.0</v>
      </c>
      <c r="J37" s="7" t="b">
        <v>1</v>
      </c>
      <c r="K37" s="6">
        <v>42.0</v>
      </c>
      <c r="L37" s="7" t="b">
        <v>1</v>
      </c>
      <c r="M37" s="6">
        <v>12.0</v>
      </c>
      <c r="N37" s="7" t="b">
        <v>1</v>
      </c>
      <c r="O37" s="6">
        <v>1654.0</v>
      </c>
      <c r="P37" s="7" t="b">
        <v>1</v>
      </c>
      <c r="Q37" s="6">
        <v>48.0</v>
      </c>
      <c r="R37" s="7" t="b">
        <v>1</v>
      </c>
    </row>
    <row r="38">
      <c r="B38" s="1">
        <v>123.0</v>
      </c>
      <c r="C38" s="1" t="b">
        <v>1</v>
      </c>
      <c r="D38" s="1" t="s">
        <v>62</v>
      </c>
      <c r="F38" s="4">
        <v>35.0</v>
      </c>
      <c r="G38" s="6">
        <v>159.0</v>
      </c>
      <c r="H38" s="7" t="b">
        <v>1</v>
      </c>
      <c r="I38" s="6">
        <v>17.0</v>
      </c>
      <c r="J38" s="7" t="b">
        <v>1</v>
      </c>
      <c r="K38" s="6">
        <v>60.0</v>
      </c>
      <c r="L38" s="7" t="b">
        <v>1</v>
      </c>
      <c r="M38" s="6">
        <v>11.0</v>
      </c>
      <c r="N38" s="7" t="b">
        <v>1</v>
      </c>
      <c r="O38" s="6">
        <v>1660.0</v>
      </c>
      <c r="P38" s="7" t="b">
        <v>1</v>
      </c>
      <c r="Q38" s="6">
        <v>49.0</v>
      </c>
      <c r="R38" s="7" t="b">
        <v>1</v>
      </c>
    </row>
    <row r="39">
      <c r="B39" s="1">
        <v>131.0</v>
      </c>
      <c r="C39" s="1" t="b">
        <v>1</v>
      </c>
      <c r="D39" s="1" t="s">
        <v>63</v>
      </c>
      <c r="F39" s="4">
        <v>36.0</v>
      </c>
      <c r="G39" s="6">
        <v>176.0</v>
      </c>
      <c r="H39" s="7" t="b">
        <v>1</v>
      </c>
      <c r="I39" s="6">
        <v>21.0</v>
      </c>
      <c r="J39" s="7" t="b">
        <v>1</v>
      </c>
      <c r="K39" s="6">
        <v>47.0</v>
      </c>
      <c r="L39" s="7" t="b">
        <v>1</v>
      </c>
      <c r="M39" s="6">
        <v>14.0</v>
      </c>
      <c r="N39" s="7" t="b">
        <v>1</v>
      </c>
      <c r="O39" s="6">
        <v>1660.0</v>
      </c>
      <c r="P39" s="7" t="b">
        <v>1</v>
      </c>
      <c r="Q39" s="8">
        <v>54.0</v>
      </c>
      <c r="R39" s="7" t="b">
        <v>1</v>
      </c>
    </row>
    <row r="40">
      <c r="B40" s="1">
        <v>141.0</v>
      </c>
      <c r="C40" s="1" t="b">
        <v>1</v>
      </c>
      <c r="D40" s="1" t="s">
        <v>64</v>
      </c>
      <c r="F40" s="4">
        <v>37.0</v>
      </c>
      <c r="G40" s="6">
        <v>181.0</v>
      </c>
      <c r="H40" s="7" t="b">
        <v>1</v>
      </c>
      <c r="I40" s="6">
        <v>14.0</v>
      </c>
      <c r="J40" s="7" t="b">
        <v>1</v>
      </c>
      <c r="K40" s="6">
        <v>40.0</v>
      </c>
      <c r="L40" s="7" t="b">
        <v>1</v>
      </c>
      <c r="M40" s="6">
        <v>7.0</v>
      </c>
      <c r="N40" s="7" t="b">
        <v>1</v>
      </c>
      <c r="O40" s="6">
        <v>1663.0</v>
      </c>
      <c r="P40" s="7" t="b">
        <v>1</v>
      </c>
      <c r="Q40" s="6">
        <v>48.0</v>
      </c>
      <c r="R40" s="7" t="b">
        <v>1</v>
      </c>
    </row>
    <row r="41">
      <c r="B41" s="1">
        <v>146.0</v>
      </c>
      <c r="C41" s="1" t="b">
        <v>1</v>
      </c>
      <c r="D41" s="1" t="s">
        <v>65</v>
      </c>
      <c r="F41" s="4">
        <v>38.0</v>
      </c>
      <c r="G41" s="6">
        <v>161.0</v>
      </c>
      <c r="H41" s="7" t="b">
        <v>1</v>
      </c>
      <c r="I41" s="6">
        <v>12.0</v>
      </c>
      <c r="J41" s="7" t="b">
        <v>1</v>
      </c>
      <c r="K41" s="6">
        <v>53.0</v>
      </c>
      <c r="L41" s="7" t="b">
        <v>1</v>
      </c>
      <c r="M41" s="6">
        <v>6.0</v>
      </c>
      <c r="N41" s="7" t="b">
        <v>1</v>
      </c>
      <c r="O41" s="6">
        <v>1663.0</v>
      </c>
      <c r="P41" s="7" t="b">
        <v>1</v>
      </c>
      <c r="Q41" s="6">
        <v>51.0</v>
      </c>
      <c r="R41" s="7" t="b">
        <v>1</v>
      </c>
    </row>
    <row r="42">
      <c r="B42" s="1">
        <v>148.0</v>
      </c>
      <c r="C42" s="1" t="b">
        <v>1</v>
      </c>
      <c r="D42" s="1" t="s">
        <v>66</v>
      </c>
      <c r="F42" s="4">
        <v>39.0</v>
      </c>
      <c r="G42" s="6">
        <v>166.0</v>
      </c>
      <c r="H42" s="7" t="b">
        <v>1</v>
      </c>
      <c r="I42" s="6">
        <v>9.0</v>
      </c>
      <c r="J42" s="7" t="b">
        <v>1</v>
      </c>
      <c r="K42" s="6">
        <v>44.0</v>
      </c>
      <c r="L42" s="7" t="b">
        <v>1</v>
      </c>
      <c r="M42" s="6">
        <v>6.0</v>
      </c>
      <c r="N42" s="7" t="b">
        <v>1</v>
      </c>
      <c r="O42" s="6">
        <v>1659.0</v>
      </c>
      <c r="P42" s="7" t="b">
        <v>1</v>
      </c>
      <c r="Q42" s="6">
        <v>47.0</v>
      </c>
      <c r="R42" s="7" t="b">
        <v>1</v>
      </c>
    </row>
    <row r="43">
      <c r="B43" s="1">
        <v>159.0</v>
      </c>
      <c r="C43" s="1" t="b">
        <v>1</v>
      </c>
      <c r="D43" s="1" t="s">
        <v>67</v>
      </c>
      <c r="F43" s="4">
        <v>40.0</v>
      </c>
      <c r="G43" s="6">
        <v>158.0</v>
      </c>
      <c r="H43" s="7" t="b">
        <v>1</v>
      </c>
      <c r="I43" s="6">
        <v>12.0</v>
      </c>
      <c r="J43" s="7" t="b">
        <v>1</v>
      </c>
      <c r="K43" s="6">
        <v>50.0</v>
      </c>
      <c r="L43" s="7" t="b">
        <v>1</v>
      </c>
      <c r="M43" s="6">
        <v>7.0</v>
      </c>
      <c r="N43" s="7" t="b">
        <v>1</v>
      </c>
      <c r="O43" s="6">
        <v>1655.0</v>
      </c>
      <c r="P43" s="7" t="b">
        <v>1</v>
      </c>
      <c r="Q43" s="6">
        <v>48.0</v>
      </c>
      <c r="R43" s="7" t="b">
        <v>1</v>
      </c>
    </row>
    <row r="44">
      <c r="B44" s="1">
        <v>163.0</v>
      </c>
      <c r="C44" s="1" t="b">
        <v>1</v>
      </c>
      <c r="D44" s="1" t="s">
        <v>68</v>
      </c>
      <c r="F44" s="4">
        <v>41.0</v>
      </c>
      <c r="G44" s="6">
        <v>180.0</v>
      </c>
      <c r="H44" s="7" t="b">
        <v>1</v>
      </c>
      <c r="I44" s="6">
        <v>12.0</v>
      </c>
      <c r="J44" s="7" t="b">
        <v>1</v>
      </c>
      <c r="K44" s="6">
        <v>44.0</v>
      </c>
      <c r="L44" s="7" t="b">
        <v>1</v>
      </c>
      <c r="M44" s="6">
        <v>9.0</v>
      </c>
      <c r="N44" s="7" t="b">
        <v>1</v>
      </c>
      <c r="O44" s="6">
        <v>1657.0</v>
      </c>
      <c r="P44" s="7" t="b">
        <v>1</v>
      </c>
      <c r="Q44" s="6">
        <v>48.0</v>
      </c>
      <c r="R44" s="7" t="b">
        <v>1</v>
      </c>
    </row>
    <row r="45">
      <c r="B45" s="1">
        <v>167.0</v>
      </c>
      <c r="C45" s="1" t="b">
        <v>1</v>
      </c>
      <c r="D45" s="1" t="s">
        <v>70</v>
      </c>
      <c r="F45" s="4">
        <v>42.0</v>
      </c>
      <c r="G45" s="6">
        <v>158.0</v>
      </c>
      <c r="H45" s="7" t="b">
        <v>1</v>
      </c>
      <c r="I45" s="6">
        <v>13.0</v>
      </c>
      <c r="J45" s="7" t="b">
        <v>1</v>
      </c>
      <c r="K45" s="6">
        <v>45.0</v>
      </c>
      <c r="L45" s="7" t="b">
        <v>1</v>
      </c>
      <c r="M45" s="6">
        <v>5.0</v>
      </c>
      <c r="N45" s="7" t="b">
        <v>1</v>
      </c>
      <c r="O45" s="6">
        <v>1660.0</v>
      </c>
      <c r="P45" s="7" t="b">
        <v>1</v>
      </c>
      <c r="Q45" s="6">
        <v>47.0</v>
      </c>
      <c r="R45" s="7" t="b">
        <v>1</v>
      </c>
    </row>
    <row r="46">
      <c r="B46" s="1">
        <v>171.0</v>
      </c>
      <c r="C46" s="1" t="b">
        <v>1</v>
      </c>
      <c r="D46" s="1" t="s">
        <v>72</v>
      </c>
      <c r="F46" s="4">
        <v>43.0</v>
      </c>
      <c r="G46" s="6">
        <v>147.0</v>
      </c>
      <c r="H46" s="7" t="b">
        <v>1</v>
      </c>
      <c r="I46" s="6">
        <v>18.0</v>
      </c>
      <c r="J46" s="7" t="b">
        <v>1</v>
      </c>
      <c r="K46" s="6">
        <v>45.0</v>
      </c>
      <c r="L46" s="7" t="b">
        <v>1</v>
      </c>
      <c r="M46" s="6">
        <v>14.0</v>
      </c>
      <c r="N46" s="7" t="b">
        <v>1</v>
      </c>
      <c r="O46" s="6">
        <v>1657.0</v>
      </c>
      <c r="P46" s="7" t="b">
        <v>1</v>
      </c>
      <c r="Q46" s="6">
        <v>52.0</v>
      </c>
      <c r="R46" s="7" t="b">
        <v>1</v>
      </c>
    </row>
    <row r="47">
      <c r="B47" s="1">
        <v>177.0</v>
      </c>
      <c r="C47" s="1" t="b">
        <v>1</v>
      </c>
      <c r="D47" s="1" t="s">
        <v>73</v>
      </c>
      <c r="F47" s="4">
        <v>44.0</v>
      </c>
      <c r="G47" s="6">
        <v>158.0</v>
      </c>
      <c r="H47" s="7" t="b">
        <v>1</v>
      </c>
      <c r="I47" s="6">
        <v>16.0</v>
      </c>
      <c r="J47" s="7" t="b">
        <v>1</v>
      </c>
      <c r="K47" s="6">
        <v>42.0</v>
      </c>
      <c r="L47" s="7" t="b">
        <v>1</v>
      </c>
      <c r="M47" s="6">
        <v>11.0</v>
      </c>
      <c r="N47" s="7" t="b">
        <v>1</v>
      </c>
      <c r="O47" s="6">
        <v>1657.0</v>
      </c>
      <c r="P47" s="7" t="b">
        <v>1</v>
      </c>
      <c r="Q47" s="6">
        <v>51.0</v>
      </c>
      <c r="R47" s="7" t="b">
        <v>1</v>
      </c>
    </row>
    <row r="48">
      <c r="B48" s="1">
        <v>180.0</v>
      </c>
      <c r="C48" s="1" t="b">
        <v>1</v>
      </c>
      <c r="D48" s="1" t="s">
        <v>75</v>
      </c>
      <c r="F48" s="4">
        <v>45.0</v>
      </c>
      <c r="G48" s="6">
        <v>160.0</v>
      </c>
      <c r="H48" s="7" t="b">
        <v>1</v>
      </c>
      <c r="I48" s="6">
        <v>20.0</v>
      </c>
      <c r="J48" s="7" t="b">
        <v>1</v>
      </c>
      <c r="K48" s="6">
        <v>57.0</v>
      </c>
      <c r="L48" s="7" t="b">
        <v>1</v>
      </c>
      <c r="M48" s="6">
        <v>12.0</v>
      </c>
      <c r="N48" s="7" t="b">
        <v>1</v>
      </c>
      <c r="O48" s="6">
        <v>1660.0</v>
      </c>
      <c r="P48" s="7" t="b">
        <v>1</v>
      </c>
      <c r="Q48" s="6">
        <v>49.0</v>
      </c>
      <c r="R48" s="7" t="b">
        <v>1</v>
      </c>
    </row>
    <row r="49">
      <c r="B49" s="1">
        <v>184.0</v>
      </c>
      <c r="C49" s="1" t="b">
        <v>1</v>
      </c>
      <c r="D49" s="1" t="s">
        <v>76</v>
      </c>
      <c r="F49" s="4">
        <v>46.0</v>
      </c>
      <c r="G49" s="6">
        <v>159.0</v>
      </c>
      <c r="H49" s="7" t="b">
        <v>1</v>
      </c>
      <c r="I49" s="6">
        <v>17.0</v>
      </c>
      <c r="J49" s="7" t="b">
        <v>1</v>
      </c>
      <c r="K49" s="6">
        <v>48.0</v>
      </c>
      <c r="L49" s="7" t="b">
        <v>1</v>
      </c>
      <c r="M49" s="6">
        <v>12.0</v>
      </c>
      <c r="N49" s="7" t="b">
        <v>1</v>
      </c>
      <c r="O49" s="13">
        <v>1647.0</v>
      </c>
      <c r="P49" s="7" t="b">
        <v>1</v>
      </c>
      <c r="Q49" s="6">
        <v>50.0</v>
      </c>
      <c r="R49" s="7" t="b">
        <v>1</v>
      </c>
    </row>
    <row r="50">
      <c r="B50" s="1">
        <v>187.0</v>
      </c>
      <c r="C50" s="1" t="b">
        <v>1</v>
      </c>
      <c r="D50" s="1" t="s">
        <v>77</v>
      </c>
      <c r="F50" s="4">
        <v>47.0</v>
      </c>
      <c r="G50" s="6">
        <v>172.0</v>
      </c>
      <c r="H50" s="7" t="b">
        <v>1</v>
      </c>
      <c r="I50" s="6">
        <v>13.0</v>
      </c>
      <c r="J50" s="7" t="b">
        <v>1</v>
      </c>
      <c r="K50" s="6">
        <v>49.0</v>
      </c>
      <c r="L50" s="7" t="b">
        <v>1</v>
      </c>
      <c r="M50" s="6">
        <v>6.0</v>
      </c>
      <c r="N50" s="7" t="b">
        <v>1</v>
      </c>
      <c r="O50" s="6">
        <v>1660.0</v>
      </c>
      <c r="P50" s="7" t="b">
        <v>1</v>
      </c>
      <c r="Q50" s="6">
        <v>46.0</v>
      </c>
      <c r="R50" s="7" t="b">
        <v>1</v>
      </c>
    </row>
    <row r="51">
      <c r="B51" s="1">
        <v>195.0</v>
      </c>
      <c r="C51" s="1" t="b">
        <v>1</v>
      </c>
      <c r="D51" s="1" t="s">
        <v>78</v>
      </c>
      <c r="F51" s="4">
        <v>48.0</v>
      </c>
      <c r="G51" s="6">
        <v>182.0</v>
      </c>
      <c r="H51" s="7" t="b">
        <v>1</v>
      </c>
      <c r="I51" s="6">
        <v>15.0</v>
      </c>
      <c r="J51" s="7" t="b">
        <v>1</v>
      </c>
      <c r="K51" s="6">
        <v>53.0</v>
      </c>
      <c r="L51" s="7" t="b">
        <v>1</v>
      </c>
      <c r="M51" s="6">
        <v>8.0</v>
      </c>
      <c r="N51" s="7" t="b">
        <v>1</v>
      </c>
      <c r="O51" s="6">
        <v>1651.0</v>
      </c>
      <c r="P51" s="7" t="b">
        <v>1</v>
      </c>
      <c r="Q51" s="6">
        <v>47.0</v>
      </c>
      <c r="R51" s="7" t="b">
        <v>1</v>
      </c>
    </row>
    <row r="52">
      <c r="B52" s="1">
        <v>196.0</v>
      </c>
      <c r="C52" s="1" t="b">
        <v>1</v>
      </c>
      <c r="D52" s="1" t="s">
        <v>79</v>
      </c>
      <c r="F52" s="4">
        <v>49.0</v>
      </c>
      <c r="G52" s="6">
        <v>159.0</v>
      </c>
      <c r="H52" s="7" t="b">
        <v>1</v>
      </c>
      <c r="I52" s="6">
        <v>21.0</v>
      </c>
      <c r="J52" s="7" t="b">
        <v>1</v>
      </c>
      <c r="K52" s="6">
        <v>59.0</v>
      </c>
      <c r="L52" s="7" t="b">
        <v>1</v>
      </c>
      <c r="M52" s="6">
        <v>15.0</v>
      </c>
      <c r="N52" s="7" t="b">
        <v>1</v>
      </c>
      <c r="O52" s="6">
        <v>1653.0</v>
      </c>
      <c r="P52" s="7" t="b">
        <v>1</v>
      </c>
      <c r="Q52" s="8">
        <v>56.0</v>
      </c>
      <c r="R52" s="7" t="b">
        <v>1</v>
      </c>
    </row>
    <row r="53">
      <c r="B53" s="1">
        <v>206.0</v>
      </c>
      <c r="C53" s="1" t="b">
        <v>1</v>
      </c>
      <c r="D53" s="1" t="s">
        <v>80</v>
      </c>
      <c r="F53" s="4">
        <v>50.0</v>
      </c>
      <c r="G53" s="6">
        <v>173.0</v>
      </c>
      <c r="H53" s="7" t="b">
        <v>1</v>
      </c>
      <c r="I53" s="6">
        <v>14.0</v>
      </c>
      <c r="J53" s="7" t="b">
        <v>1</v>
      </c>
      <c r="K53" s="6">
        <v>46.0</v>
      </c>
      <c r="L53" s="7" t="b">
        <v>1</v>
      </c>
      <c r="M53" s="6">
        <v>9.0</v>
      </c>
      <c r="N53" s="7" t="b">
        <v>1</v>
      </c>
      <c r="O53" s="6">
        <v>1658.0</v>
      </c>
      <c r="P53" s="7" t="b">
        <v>1</v>
      </c>
      <c r="Q53" s="6">
        <v>49.0</v>
      </c>
      <c r="R53" s="7" t="b">
        <v>1</v>
      </c>
    </row>
    <row r="58">
      <c r="E58" s="1" t="s">
        <v>81</v>
      </c>
      <c r="G58" s="1" t="s">
        <v>128</v>
      </c>
      <c r="I58" s="1" t="s">
        <v>129</v>
      </c>
      <c r="K58" s="1" t="s">
        <v>130</v>
      </c>
      <c r="M58" s="1" t="s">
        <v>131</v>
      </c>
      <c r="O58" s="1" t="s">
        <v>132</v>
      </c>
      <c r="Q58" s="1" t="s">
        <v>133</v>
      </c>
    </row>
    <row r="59">
      <c r="E59" s="1" t="s">
        <v>88</v>
      </c>
      <c r="G59" s="1" t="s">
        <v>134</v>
      </c>
      <c r="I59" s="1" t="s">
        <v>135</v>
      </c>
      <c r="K59" s="1" t="s">
        <v>94</v>
      </c>
      <c r="M59" s="1" t="s">
        <v>92</v>
      </c>
      <c r="O59" s="1" t="s">
        <v>136</v>
      </c>
      <c r="Q59" s="1" t="s">
        <v>94</v>
      </c>
    </row>
    <row r="60">
      <c r="E60" s="1" t="s">
        <v>95</v>
      </c>
      <c r="G60" s="1" t="s">
        <v>137</v>
      </c>
      <c r="I60" s="1" t="s">
        <v>97</v>
      </c>
      <c r="K60" s="1" t="s">
        <v>138</v>
      </c>
      <c r="M60" s="1" t="s">
        <v>100</v>
      </c>
      <c r="O60" s="1" t="s">
        <v>139</v>
      </c>
      <c r="P60" s="1" t="s">
        <v>140</v>
      </c>
      <c r="Q60" s="1" t="s">
        <v>106</v>
      </c>
    </row>
    <row r="61">
      <c r="E61" s="1" t="s">
        <v>107</v>
      </c>
    </row>
    <row r="62">
      <c r="E62" s="1" t="s">
        <v>109</v>
      </c>
      <c r="G62" s="1" t="s">
        <v>111</v>
      </c>
      <c r="I62" s="1" t="s">
        <v>112</v>
      </c>
      <c r="K62" s="1" t="s">
        <v>113</v>
      </c>
      <c r="M62" s="1" t="s">
        <v>115</v>
      </c>
      <c r="O62" s="1" t="s">
        <v>116</v>
      </c>
      <c r="Q62" s="1" t="s">
        <v>118</v>
      </c>
    </row>
    <row r="63">
      <c r="E63" s="1" t="s">
        <v>120</v>
      </c>
      <c r="G63" s="3">
        <f>QUARTILE(G4:G53,1)</f>
        <v>158.25</v>
      </c>
      <c r="I63" s="3">
        <f>QUARTILE(I4:I53,1)</f>
        <v>12</v>
      </c>
      <c r="K63" s="3">
        <f>QUARTILE(K4:K53,1)</f>
        <v>45</v>
      </c>
      <c r="M63" s="3">
        <f>QUARTILE(M4:M53,1)</f>
        <v>6</v>
      </c>
      <c r="O63" s="3">
        <f>QUARTILE(O4:O53,1)</f>
        <v>1657</v>
      </c>
      <c r="Q63" s="3">
        <f>QUARTILE(Q4:Q53,1)</f>
        <v>47</v>
      </c>
    </row>
    <row r="64">
      <c r="E64" s="1" t="s">
        <v>127</v>
      </c>
      <c r="G64" s="3">
        <f>QUARTILE(G4:G53,3)</f>
        <v>175.75</v>
      </c>
      <c r="I64" s="3">
        <f>QUARTILE(I4:I53,3)</f>
        <v>19.5</v>
      </c>
      <c r="K64" s="3">
        <f>QUARTILE(K4:K53,3)</f>
        <v>53</v>
      </c>
      <c r="M64" s="3">
        <f>QUARTILE(M4:M53,3)</f>
        <v>12</v>
      </c>
      <c r="O64" s="3">
        <f>QUARTILE(O4:O53,3)</f>
        <v>1661.75</v>
      </c>
      <c r="Q64" s="3">
        <f>QUARTILE(Q4:Q53,3)</f>
        <v>49.75</v>
      </c>
    </row>
    <row r="65">
      <c r="E65" s="1" t="s">
        <v>143</v>
      </c>
      <c r="G65" s="3">
        <f>G64-G63</f>
        <v>17.5</v>
      </c>
      <c r="I65" s="3">
        <f>I64-I63</f>
        <v>7.5</v>
      </c>
      <c r="K65" s="3">
        <f>K64-K63</f>
        <v>8</v>
      </c>
      <c r="M65" s="3">
        <f>M64-M63</f>
        <v>6</v>
      </c>
      <c r="O65" s="3">
        <f>O64-O63</f>
        <v>4.75</v>
      </c>
      <c r="Q65" s="3">
        <f>Q64-Q63</f>
        <v>2.75</v>
      </c>
    </row>
    <row r="66">
      <c r="E66" s="1" t="s">
        <v>146</v>
      </c>
      <c r="G66" s="3">
        <f>1.5*G65</f>
        <v>26.25</v>
      </c>
      <c r="I66" s="3">
        <f>1.5*I65</f>
        <v>11.25</v>
      </c>
      <c r="K66" s="3">
        <f>1.5*K65</f>
        <v>12</v>
      </c>
      <c r="M66" s="3">
        <f>1.5*M65</f>
        <v>9</v>
      </c>
      <c r="O66" s="3">
        <f>1.5*O65</f>
        <v>7.125</v>
      </c>
      <c r="Q66" s="3">
        <f>1.5*Q65</f>
        <v>4.125</v>
      </c>
    </row>
    <row r="67">
      <c r="E67" s="1" t="s">
        <v>5</v>
      </c>
      <c r="G67" s="3">
        <f>G64+G66</f>
        <v>202</v>
      </c>
      <c r="I67" s="3">
        <f>I64+I66</f>
        <v>30.75</v>
      </c>
      <c r="K67" s="3">
        <f>K64+K66</f>
        <v>65</v>
      </c>
      <c r="M67" s="3">
        <f>M64+M66</f>
        <v>21</v>
      </c>
      <c r="O67" s="3">
        <f>O64+O66</f>
        <v>1668.875</v>
      </c>
      <c r="Q67" s="3">
        <f>Q64+Q66</f>
        <v>53.875</v>
      </c>
    </row>
    <row r="68">
      <c r="E68" s="1" t="s">
        <v>10</v>
      </c>
      <c r="G68" s="3">
        <f>G63-G66</f>
        <v>132</v>
      </c>
      <c r="I68" s="3">
        <f>I63-I66</f>
        <v>0.75</v>
      </c>
      <c r="K68" s="3">
        <f>K63-K66</f>
        <v>33</v>
      </c>
      <c r="M68" s="3">
        <f>M63-M66</f>
        <v>-3</v>
      </c>
      <c r="O68" s="3">
        <f>O63-O66</f>
        <v>1649.875</v>
      </c>
      <c r="Q68" s="3">
        <f>Q63-Q66</f>
        <v>42.875</v>
      </c>
    </row>
    <row r="69">
      <c r="E69" s="1" t="s">
        <v>150</v>
      </c>
    </row>
    <row r="70">
      <c r="E70" s="1" t="s">
        <v>151</v>
      </c>
    </row>
    <row r="79">
      <c r="G79" s="1" t="s">
        <v>152</v>
      </c>
    </row>
    <row r="80">
      <c r="G80" s="1" t="s">
        <v>32</v>
      </c>
      <c r="H80" s="15">
        <f>TTEST(G4:G53,I4:I53,2,1)</f>
        <v>0</v>
      </c>
    </row>
    <row r="81">
      <c r="G81" s="1" t="s">
        <v>55</v>
      </c>
      <c r="H81" s="15">
        <f>TTEST(K4:K53,M4:M53,2,1)</f>
        <v>0</v>
      </c>
    </row>
    <row r="82">
      <c r="G82" s="1" t="s">
        <v>153</v>
      </c>
      <c r="H82" s="15">
        <f>TTEST(O4:O53,Q4:Q53,2,1)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4.25"/>
    <col customWidth="1" min="2" max="2" width="3.88"/>
    <col customWidth="1" min="3" max="3" width="3.13"/>
  </cols>
  <sheetData>
    <row r="1">
      <c r="A1" s="1"/>
      <c r="B1" s="1"/>
      <c r="D1" s="2" t="s">
        <v>2</v>
      </c>
      <c r="E1" s="1" t="s">
        <v>5</v>
      </c>
      <c r="G1" s="3">
        <v>184.125</v>
      </c>
      <c r="I1" s="3">
        <v>30.0</v>
      </c>
      <c r="K1" s="3">
        <v>67.375</v>
      </c>
      <c r="M1" s="3">
        <v>22.875</v>
      </c>
      <c r="O1" s="3">
        <v>1688.875</v>
      </c>
      <c r="Q1" s="3">
        <v>53.5</v>
      </c>
      <c r="R1" s="1"/>
      <c r="T1" s="1"/>
      <c r="U1" s="1"/>
    </row>
    <row r="2">
      <c r="A2" s="1"/>
      <c r="B2" s="1"/>
      <c r="D2" s="5" t="s">
        <v>8</v>
      </c>
      <c r="E2" s="1" t="s">
        <v>10</v>
      </c>
      <c r="G2" s="3">
        <v>133.125</v>
      </c>
      <c r="I2" s="3">
        <v>-2.0</v>
      </c>
      <c r="K2" s="3">
        <v>36.375</v>
      </c>
      <c r="M2" s="3">
        <v>-4.125</v>
      </c>
      <c r="O2" s="3">
        <v>1645.875</v>
      </c>
      <c r="Q2" s="3">
        <v>41.5</v>
      </c>
      <c r="R2" s="1"/>
      <c r="T2" s="1"/>
      <c r="U2" s="1"/>
    </row>
    <row r="3">
      <c r="A3" s="1" t="s">
        <v>1</v>
      </c>
      <c r="B3" s="1" t="s">
        <v>3</v>
      </c>
      <c r="D3" s="1" t="s">
        <v>4</v>
      </c>
      <c r="F3" s="4" t="s">
        <v>6</v>
      </c>
      <c r="G3" s="1" t="s">
        <v>7</v>
      </c>
      <c r="H3" s="4"/>
      <c r="I3" s="1" t="s">
        <v>9</v>
      </c>
      <c r="J3" s="4"/>
      <c r="K3" s="1" t="s">
        <v>11</v>
      </c>
      <c r="L3" s="4"/>
      <c r="M3" s="1" t="s">
        <v>12</v>
      </c>
      <c r="N3" s="4"/>
      <c r="O3" s="1" t="s">
        <v>13</v>
      </c>
      <c r="P3" s="4"/>
      <c r="Q3" s="1" t="s">
        <v>14</v>
      </c>
      <c r="R3" s="4"/>
    </row>
    <row r="4">
      <c r="B4" s="1">
        <v>2.0</v>
      </c>
      <c r="C4" s="1" t="b">
        <v>1</v>
      </c>
      <c r="D4" s="1" t="s">
        <v>15</v>
      </c>
      <c r="F4" s="4">
        <v>1.0</v>
      </c>
      <c r="G4" s="6">
        <v>153.0</v>
      </c>
      <c r="H4" s="7" t="b">
        <v>1</v>
      </c>
      <c r="I4" s="6">
        <v>15.0</v>
      </c>
      <c r="J4" s="7" t="b">
        <v>1</v>
      </c>
      <c r="K4" s="6">
        <v>50.0</v>
      </c>
      <c r="L4" s="7" t="b">
        <v>1</v>
      </c>
      <c r="M4" s="6">
        <v>10.0</v>
      </c>
      <c r="N4" s="7" t="b">
        <v>1</v>
      </c>
      <c r="O4" s="6">
        <v>1675.0</v>
      </c>
      <c r="P4" s="7" t="b">
        <v>1</v>
      </c>
      <c r="Q4" s="6">
        <v>49.0</v>
      </c>
      <c r="R4" s="7" t="b">
        <v>1</v>
      </c>
    </row>
    <row r="5">
      <c r="B5" s="1">
        <v>3.0</v>
      </c>
      <c r="C5" s="1" t="b">
        <v>1</v>
      </c>
      <c r="D5" s="1" t="s">
        <v>16</v>
      </c>
      <c r="F5" s="4">
        <v>2.0</v>
      </c>
      <c r="G5" s="6">
        <v>178.0</v>
      </c>
      <c r="H5" s="7" t="b">
        <v>1</v>
      </c>
      <c r="I5" s="6">
        <v>20.0</v>
      </c>
      <c r="J5" s="7" t="b">
        <v>1</v>
      </c>
      <c r="K5" s="6">
        <v>46.0</v>
      </c>
      <c r="L5" s="7" t="b">
        <v>1</v>
      </c>
      <c r="M5" s="6">
        <v>19.0</v>
      </c>
      <c r="N5" s="7" t="b">
        <v>1</v>
      </c>
      <c r="O5" s="6">
        <v>1668.0</v>
      </c>
      <c r="P5" s="7" t="b">
        <v>1</v>
      </c>
      <c r="Q5" s="8">
        <v>56.0</v>
      </c>
      <c r="R5" s="7" t="b">
        <v>1</v>
      </c>
    </row>
    <row r="6">
      <c r="B6" s="1">
        <v>6.0</v>
      </c>
      <c r="C6" s="1" t="b">
        <v>1</v>
      </c>
      <c r="D6" s="1" t="s">
        <v>17</v>
      </c>
      <c r="F6" s="4">
        <v>3.0</v>
      </c>
      <c r="G6" s="6">
        <v>170.0</v>
      </c>
      <c r="H6" s="7" t="b">
        <v>1</v>
      </c>
      <c r="I6" s="6">
        <v>16.0</v>
      </c>
      <c r="J6" s="7" t="b">
        <v>1</v>
      </c>
      <c r="K6" s="6">
        <v>48.0</v>
      </c>
      <c r="L6" s="7" t="b">
        <v>1</v>
      </c>
      <c r="M6" s="6">
        <v>13.0</v>
      </c>
      <c r="N6" s="7" t="b">
        <v>1</v>
      </c>
      <c r="O6" s="6">
        <v>1679.0</v>
      </c>
      <c r="P6" s="7" t="b">
        <v>1</v>
      </c>
      <c r="Q6" s="6">
        <v>48.0</v>
      </c>
      <c r="R6" s="7" t="b">
        <v>1</v>
      </c>
    </row>
    <row r="7">
      <c r="B7" s="1">
        <v>9.0</v>
      </c>
      <c r="C7" s="1" t="b">
        <v>1</v>
      </c>
      <c r="D7" s="1" t="s">
        <v>18</v>
      </c>
      <c r="F7" s="4">
        <v>4.0</v>
      </c>
      <c r="G7" s="6">
        <v>171.0</v>
      </c>
      <c r="H7" s="7" t="b">
        <v>1</v>
      </c>
      <c r="I7" s="6">
        <v>17.0</v>
      </c>
      <c r="J7" s="7" t="b">
        <v>1</v>
      </c>
      <c r="K7" s="6">
        <v>48.0</v>
      </c>
      <c r="L7" s="7" t="b">
        <v>1</v>
      </c>
      <c r="M7" s="6">
        <v>10.0</v>
      </c>
      <c r="N7" s="7" t="b">
        <v>1</v>
      </c>
      <c r="O7" s="6">
        <v>1647.0</v>
      </c>
      <c r="P7" s="7" t="b">
        <v>1</v>
      </c>
      <c r="Q7" s="6">
        <v>46.0</v>
      </c>
      <c r="R7" s="7" t="b">
        <v>1</v>
      </c>
    </row>
    <row r="8">
      <c r="B8" s="1">
        <v>16.0</v>
      </c>
      <c r="C8" s="1" t="b">
        <v>1</v>
      </c>
      <c r="D8" s="1" t="s">
        <v>19</v>
      </c>
      <c r="F8" s="4">
        <v>5.0</v>
      </c>
      <c r="G8" s="6">
        <v>149.0</v>
      </c>
      <c r="H8" s="7" t="b">
        <v>1</v>
      </c>
      <c r="I8" s="6">
        <v>8.0</v>
      </c>
      <c r="J8" s="7" t="b">
        <v>1</v>
      </c>
      <c r="K8" s="6">
        <v>47.0</v>
      </c>
      <c r="L8" s="7" t="b">
        <v>1</v>
      </c>
      <c r="M8" s="6">
        <v>4.0</v>
      </c>
      <c r="N8" s="7" t="b">
        <v>1</v>
      </c>
      <c r="O8" s="6">
        <v>1668.0</v>
      </c>
      <c r="P8" s="7" t="b">
        <v>1</v>
      </c>
      <c r="Q8" s="6">
        <v>45.0</v>
      </c>
      <c r="R8" s="7" t="b">
        <v>1</v>
      </c>
    </row>
    <row r="9">
      <c r="B9" s="1">
        <v>22.0</v>
      </c>
      <c r="C9" s="1" t="b">
        <v>1</v>
      </c>
      <c r="D9" s="1" t="s">
        <v>20</v>
      </c>
      <c r="F9" s="4">
        <v>6.0</v>
      </c>
      <c r="G9" s="6">
        <v>163.0</v>
      </c>
      <c r="H9" s="7" t="b">
        <v>1</v>
      </c>
      <c r="I9" s="6">
        <v>9.0</v>
      </c>
      <c r="J9" s="7" t="b">
        <v>1</v>
      </c>
      <c r="K9" s="6">
        <v>49.0</v>
      </c>
      <c r="L9" s="7" t="b">
        <v>1</v>
      </c>
      <c r="M9" s="6">
        <v>8.0</v>
      </c>
      <c r="N9" s="7" t="b">
        <v>1</v>
      </c>
      <c r="O9" s="6">
        <v>1655.0</v>
      </c>
      <c r="P9" s="7" t="b">
        <v>1</v>
      </c>
      <c r="Q9" s="6">
        <v>47.0</v>
      </c>
      <c r="R9" s="7" t="b">
        <v>1</v>
      </c>
    </row>
    <row r="10">
      <c r="B10" s="1">
        <v>27.0</v>
      </c>
      <c r="C10" s="1" t="b">
        <v>1</v>
      </c>
      <c r="D10" s="1" t="s">
        <v>21</v>
      </c>
      <c r="F10" s="4">
        <v>7.0</v>
      </c>
      <c r="G10" s="6">
        <v>156.0</v>
      </c>
      <c r="H10" s="7" t="b">
        <v>1</v>
      </c>
      <c r="I10" s="6">
        <v>20.0</v>
      </c>
      <c r="J10" s="7" t="b">
        <v>1</v>
      </c>
      <c r="K10" s="6">
        <v>57.0</v>
      </c>
      <c r="L10" s="7" t="b">
        <v>1</v>
      </c>
      <c r="M10" s="6">
        <v>11.0</v>
      </c>
      <c r="N10" s="7" t="b">
        <v>1</v>
      </c>
      <c r="O10" s="6">
        <v>1659.0</v>
      </c>
      <c r="P10" s="7" t="b">
        <v>1</v>
      </c>
      <c r="Q10" s="6">
        <v>47.0</v>
      </c>
      <c r="R10" s="7" t="b">
        <v>1</v>
      </c>
    </row>
    <row r="11">
      <c r="B11" s="1">
        <v>31.0</v>
      </c>
      <c r="C11" s="1" t="b">
        <v>1</v>
      </c>
      <c r="D11" s="1" t="s">
        <v>22</v>
      </c>
      <c r="F11" s="4">
        <v>8.0</v>
      </c>
      <c r="G11" s="6">
        <v>153.0</v>
      </c>
      <c r="H11" s="7" t="b">
        <v>1</v>
      </c>
      <c r="I11" s="6">
        <v>7.0</v>
      </c>
      <c r="J11" s="7" t="b">
        <v>1</v>
      </c>
      <c r="K11" s="6">
        <v>67.0</v>
      </c>
      <c r="L11" s="7" t="b">
        <v>1</v>
      </c>
      <c r="M11" s="6">
        <v>5.0</v>
      </c>
      <c r="N11" s="7" t="b">
        <v>1</v>
      </c>
      <c r="O11" s="6">
        <v>1670.0</v>
      </c>
      <c r="P11" s="7" t="b">
        <v>1</v>
      </c>
      <c r="Q11" s="6">
        <v>46.0</v>
      </c>
      <c r="R11" s="7" t="b">
        <v>1</v>
      </c>
    </row>
    <row r="12">
      <c r="B12" s="1">
        <v>32.0</v>
      </c>
      <c r="C12" s="1" t="b">
        <v>1</v>
      </c>
      <c r="D12" s="1" t="s">
        <v>23</v>
      </c>
      <c r="F12" s="4">
        <v>9.0</v>
      </c>
      <c r="G12" s="6">
        <v>156.0</v>
      </c>
      <c r="H12" s="7" t="b">
        <v>1</v>
      </c>
      <c r="I12" s="6">
        <v>18.0</v>
      </c>
      <c r="J12" s="7" t="b">
        <v>1</v>
      </c>
      <c r="K12" s="6">
        <v>64.0</v>
      </c>
      <c r="L12" s="7" t="b">
        <v>1</v>
      </c>
      <c r="M12" s="6">
        <v>10.0</v>
      </c>
      <c r="N12" s="7" t="b">
        <v>1</v>
      </c>
      <c r="O12" s="6">
        <v>1662.0</v>
      </c>
      <c r="P12" s="7" t="b">
        <v>1</v>
      </c>
      <c r="Q12" s="6">
        <v>48.0</v>
      </c>
      <c r="R12" s="7" t="b">
        <v>1</v>
      </c>
    </row>
    <row r="13">
      <c r="B13" s="1">
        <v>35.0</v>
      </c>
      <c r="C13" s="1" t="b">
        <v>1</v>
      </c>
      <c r="D13" s="1" t="s">
        <v>24</v>
      </c>
      <c r="F13" s="4">
        <v>10.0</v>
      </c>
      <c r="G13" s="6">
        <v>158.0</v>
      </c>
      <c r="H13" s="7" t="b">
        <v>1</v>
      </c>
      <c r="I13" s="6">
        <v>9.0</v>
      </c>
      <c r="J13" s="7" t="b">
        <v>1</v>
      </c>
      <c r="K13" s="6">
        <v>55.0</v>
      </c>
      <c r="L13" s="7" t="b">
        <v>1</v>
      </c>
      <c r="M13" s="6">
        <v>6.0</v>
      </c>
      <c r="N13" s="7" t="b">
        <v>1</v>
      </c>
      <c r="O13" s="6">
        <v>1673.0</v>
      </c>
      <c r="P13" s="7" t="b">
        <v>1</v>
      </c>
      <c r="Q13" s="6">
        <v>47.0</v>
      </c>
      <c r="R13" s="7" t="b">
        <v>1</v>
      </c>
    </row>
    <row r="14">
      <c r="B14" s="1">
        <v>37.0</v>
      </c>
      <c r="C14" s="1" t="b">
        <v>1</v>
      </c>
      <c r="D14" s="1" t="s">
        <v>25</v>
      </c>
      <c r="F14" s="4">
        <v>11.0</v>
      </c>
      <c r="G14" s="6">
        <v>153.0</v>
      </c>
      <c r="H14" s="7" t="b">
        <v>1</v>
      </c>
      <c r="I14" s="6">
        <v>11.0</v>
      </c>
      <c r="J14" s="7" t="b">
        <v>1</v>
      </c>
      <c r="K14" s="6">
        <v>52.0</v>
      </c>
      <c r="L14" s="7" t="b">
        <v>1</v>
      </c>
      <c r="M14" s="6">
        <v>4.0</v>
      </c>
      <c r="N14" s="7" t="b">
        <v>1</v>
      </c>
      <c r="O14" s="6">
        <v>1664.0</v>
      </c>
      <c r="P14" s="7" t="b">
        <v>1</v>
      </c>
      <c r="Q14" s="6">
        <v>45.0</v>
      </c>
      <c r="R14" s="7" t="b">
        <v>1</v>
      </c>
    </row>
    <row r="15">
      <c r="B15" s="1">
        <v>43.0</v>
      </c>
      <c r="C15" s="1" t="b">
        <v>1</v>
      </c>
      <c r="D15" s="1" t="s">
        <v>26</v>
      </c>
      <c r="F15" s="4">
        <v>12.0</v>
      </c>
      <c r="G15" s="6">
        <v>147.0</v>
      </c>
      <c r="H15" s="7" t="b">
        <v>1</v>
      </c>
      <c r="I15" s="6">
        <v>13.0</v>
      </c>
      <c r="J15" s="7" t="b">
        <v>1</v>
      </c>
      <c r="K15" s="6">
        <v>57.0</v>
      </c>
      <c r="L15" s="7" t="b">
        <v>1</v>
      </c>
      <c r="M15" s="6">
        <v>10.0</v>
      </c>
      <c r="N15" s="7" t="b">
        <v>1</v>
      </c>
      <c r="O15" s="6">
        <v>1669.0</v>
      </c>
      <c r="P15" s="7" t="b">
        <v>1</v>
      </c>
      <c r="Q15" s="6">
        <v>47.0</v>
      </c>
      <c r="R15" s="7" t="b">
        <v>1</v>
      </c>
    </row>
    <row r="16">
      <c r="B16" s="1">
        <v>57.0</v>
      </c>
      <c r="C16" s="1" t="b">
        <v>1</v>
      </c>
      <c r="D16" s="1" t="s">
        <v>27</v>
      </c>
      <c r="F16" s="4">
        <v>13.0</v>
      </c>
      <c r="G16" s="6">
        <v>170.0</v>
      </c>
      <c r="H16" s="7" t="b">
        <v>1</v>
      </c>
      <c r="I16" s="6">
        <v>17.0</v>
      </c>
      <c r="J16" s="7" t="b">
        <v>1</v>
      </c>
      <c r="K16" s="6">
        <v>40.0</v>
      </c>
      <c r="L16" s="7" t="b">
        <v>1</v>
      </c>
      <c r="M16" s="6">
        <v>7.0</v>
      </c>
      <c r="N16" s="7" t="b">
        <v>1</v>
      </c>
      <c r="O16" s="6">
        <v>1673.0</v>
      </c>
      <c r="P16" s="7" t="b">
        <v>1</v>
      </c>
      <c r="Q16" s="6">
        <v>48.0</v>
      </c>
      <c r="R16" s="7" t="b">
        <v>1</v>
      </c>
    </row>
    <row r="17">
      <c r="B17" s="1">
        <v>60.0</v>
      </c>
      <c r="C17" s="1" t="b">
        <v>1</v>
      </c>
      <c r="D17" s="1" t="s">
        <v>28</v>
      </c>
      <c r="F17" s="4">
        <v>14.0</v>
      </c>
      <c r="G17" s="6">
        <v>154.0</v>
      </c>
      <c r="H17" s="7" t="b">
        <v>1</v>
      </c>
      <c r="I17" s="8">
        <v>31.0</v>
      </c>
      <c r="J17" s="7" t="b">
        <v>1</v>
      </c>
      <c r="K17" s="6">
        <v>53.0</v>
      </c>
      <c r="L17" s="7" t="b">
        <v>1</v>
      </c>
      <c r="M17" s="6">
        <v>16.0</v>
      </c>
      <c r="N17" s="7" t="b">
        <v>1</v>
      </c>
      <c r="O17" s="6">
        <v>1658.0</v>
      </c>
      <c r="P17" s="7" t="b">
        <v>1</v>
      </c>
      <c r="Q17" s="8">
        <v>55.0</v>
      </c>
      <c r="R17" s="7" t="b">
        <v>1</v>
      </c>
    </row>
    <row r="18">
      <c r="B18" s="1">
        <v>61.0</v>
      </c>
      <c r="C18" s="1" t="b">
        <v>1</v>
      </c>
      <c r="D18" s="1" t="s">
        <v>29</v>
      </c>
      <c r="F18" s="4">
        <v>15.0</v>
      </c>
      <c r="G18" s="6">
        <v>151.0</v>
      </c>
      <c r="H18" s="7" t="b">
        <v>1</v>
      </c>
      <c r="I18" s="6">
        <v>9.0</v>
      </c>
      <c r="J18" s="7" t="b">
        <v>1</v>
      </c>
      <c r="K18" s="6">
        <v>52.0</v>
      </c>
      <c r="L18" s="7" t="b">
        <v>1</v>
      </c>
      <c r="M18" s="6">
        <v>5.0</v>
      </c>
      <c r="N18" s="7" t="b">
        <v>1</v>
      </c>
      <c r="O18" s="6">
        <v>1663.0</v>
      </c>
      <c r="P18" s="7" t="b">
        <v>1</v>
      </c>
      <c r="Q18" s="6">
        <v>46.0</v>
      </c>
      <c r="R18" s="7" t="b">
        <v>1</v>
      </c>
    </row>
    <row r="19">
      <c r="B19" s="1">
        <v>62.0</v>
      </c>
      <c r="C19" s="1" t="b">
        <v>1</v>
      </c>
      <c r="D19" s="1" t="s">
        <v>31</v>
      </c>
      <c r="F19" s="4">
        <v>16.0</v>
      </c>
      <c r="G19" s="6">
        <v>153.0</v>
      </c>
      <c r="H19" s="7" t="b">
        <v>1</v>
      </c>
      <c r="I19" s="6">
        <v>10.0</v>
      </c>
      <c r="J19" s="7" t="b">
        <v>1</v>
      </c>
      <c r="K19" s="6">
        <v>49.0</v>
      </c>
      <c r="L19" s="7" t="b">
        <v>1</v>
      </c>
      <c r="M19" s="6">
        <v>6.0</v>
      </c>
      <c r="N19" s="7" t="b">
        <v>1</v>
      </c>
      <c r="O19" s="6">
        <v>1675.0</v>
      </c>
      <c r="P19" s="7" t="b">
        <v>1</v>
      </c>
      <c r="Q19" s="6">
        <v>46.0</v>
      </c>
      <c r="R19" s="7" t="b">
        <v>1</v>
      </c>
    </row>
    <row r="20">
      <c r="B20" s="1">
        <v>64.0</v>
      </c>
      <c r="C20" s="1" t="b">
        <v>1</v>
      </c>
      <c r="D20" s="1" t="s">
        <v>38</v>
      </c>
      <c r="F20" s="4">
        <v>17.0</v>
      </c>
      <c r="G20" s="6">
        <v>166.0</v>
      </c>
      <c r="H20" s="7" t="b">
        <v>1</v>
      </c>
      <c r="I20" s="6">
        <v>8.0</v>
      </c>
      <c r="J20" s="7" t="b">
        <v>1</v>
      </c>
      <c r="K20" s="6">
        <v>48.0</v>
      </c>
      <c r="L20" s="7" t="b">
        <v>1</v>
      </c>
      <c r="M20" s="6">
        <v>8.0</v>
      </c>
      <c r="N20" s="7" t="b">
        <v>1</v>
      </c>
      <c r="O20" s="6">
        <v>1666.0</v>
      </c>
      <c r="P20" s="7" t="b">
        <v>1</v>
      </c>
      <c r="Q20" s="6">
        <v>46.0</v>
      </c>
      <c r="R20" s="7" t="b">
        <v>1</v>
      </c>
    </row>
    <row r="21">
      <c r="B21" s="1">
        <v>71.0</v>
      </c>
      <c r="C21" s="1" t="b">
        <v>1</v>
      </c>
      <c r="D21" s="1" t="s">
        <v>39</v>
      </c>
      <c r="F21" s="4">
        <v>18.0</v>
      </c>
      <c r="G21" s="6">
        <v>162.0</v>
      </c>
      <c r="H21" s="7" t="b">
        <v>1</v>
      </c>
      <c r="I21" s="6">
        <v>25.0</v>
      </c>
      <c r="J21" s="7" t="b">
        <v>1</v>
      </c>
      <c r="K21" s="6">
        <v>50.0</v>
      </c>
      <c r="L21" s="7" t="b">
        <v>1</v>
      </c>
      <c r="M21" s="6">
        <v>16.0</v>
      </c>
      <c r="N21" s="7" t="b">
        <v>1</v>
      </c>
      <c r="O21" s="6">
        <v>1686.0</v>
      </c>
      <c r="P21" s="7" t="b">
        <v>1</v>
      </c>
      <c r="Q21" s="6">
        <v>52.0</v>
      </c>
      <c r="R21" s="7" t="b">
        <v>1</v>
      </c>
    </row>
    <row r="22">
      <c r="B22" s="1">
        <v>74.0</v>
      </c>
      <c r="C22" s="1" t="b">
        <v>1</v>
      </c>
      <c r="D22" s="1" t="s">
        <v>42</v>
      </c>
      <c r="F22" s="4">
        <v>19.0</v>
      </c>
      <c r="G22" s="6">
        <v>151.0</v>
      </c>
      <c r="H22" s="7" t="b">
        <v>1</v>
      </c>
      <c r="I22" s="6">
        <v>18.0</v>
      </c>
      <c r="J22" s="7" t="b">
        <v>1</v>
      </c>
      <c r="K22" s="6">
        <v>57.0</v>
      </c>
      <c r="L22" s="7" t="b">
        <v>1</v>
      </c>
      <c r="M22" s="6">
        <v>12.0</v>
      </c>
      <c r="N22" s="7" t="b">
        <v>1</v>
      </c>
      <c r="O22" s="6">
        <v>1682.0</v>
      </c>
      <c r="P22" s="7" t="b">
        <v>1</v>
      </c>
      <c r="Q22" s="6">
        <v>49.0</v>
      </c>
      <c r="R22" s="7" t="b">
        <v>1</v>
      </c>
    </row>
    <row r="23">
      <c r="B23" s="1">
        <v>75.0</v>
      </c>
      <c r="C23" s="1" t="b">
        <v>1</v>
      </c>
      <c r="D23" s="1" t="s">
        <v>43</v>
      </c>
      <c r="F23" s="4">
        <v>20.0</v>
      </c>
      <c r="G23" s="6">
        <v>151.0</v>
      </c>
      <c r="H23" s="7" t="b">
        <v>1</v>
      </c>
      <c r="I23" s="6">
        <v>7.0</v>
      </c>
      <c r="J23" s="7" t="b">
        <v>1</v>
      </c>
      <c r="K23" s="6">
        <v>48.0</v>
      </c>
      <c r="L23" s="7" t="b">
        <v>1</v>
      </c>
      <c r="M23" s="6">
        <v>7.0</v>
      </c>
      <c r="N23" s="7" t="b">
        <v>1</v>
      </c>
      <c r="O23" s="6">
        <v>1675.0</v>
      </c>
      <c r="P23" s="7" t="b">
        <v>1</v>
      </c>
      <c r="Q23" s="6">
        <v>46.0</v>
      </c>
      <c r="R23" s="7" t="b">
        <v>1</v>
      </c>
    </row>
    <row r="24">
      <c r="B24" s="1">
        <v>79.0</v>
      </c>
      <c r="C24" s="1" t="b">
        <v>1</v>
      </c>
      <c r="D24" s="1" t="s">
        <v>45</v>
      </c>
      <c r="F24" s="4">
        <v>21.0</v>
      </c>
      <c r="G24" s="6">
        <v>147.0</v>
      </c>
      <c r="H24" s="7" t="b">
        <v>1</v>
      </c>
      <c r="I24" s="6">
        <v>14.0</v>
      </c>
      <c r="J24" s="7" t="b">
        <v>1</v>
      </c>
      <c r="K24" s="6">
        <v>50.0</v>
      </c>
      <c r="L24" s="7" t="b">
        <v>1</v>
      </c>
      <c r="M24" s="6">
        <v>13.0</v>
      </c>
      <c r="N24" s="7" t="b">
        <v>1</v>
      </c>
      <c r="O24" s="6">
        <v>1679.0</v>
      </c>
      <c r="P24" s="7" t="b">
        <v>1</v>
      </c>
      <c r="Q24" s="6">
        <v>51.0</v>
      </c>
      <c r="R24" s="7" t="b">
        <v>1</v>
      </c>
    </row>
    <row r="25">
      <c r="B25" s="1">
        <v>81.0</v>
      </c>
      <c r="C25" s="1" t="b">
        <v>1</v>
      </c>
      <c r="D25" s="1" t="s">
        <v>47</v>
      </c>
      <c r="F25" s="4">
        <v>22.0</v>
      </c>
      <c r="G25" s="6">
        <v>152.0</v>
      </c>
      <c r="H25" s="7" t="b">
        <v>1</v>
      </c>
      <c r="I25" s="6">
        <v>7.0</v>
      </c>
      <c r="J25" s="7" t="b">
        <v>1</v>
      </c>
      <c r="K25" s="6">
        <v>48.0</v>
      </c>
      <c r="L25" s="7" t="b">
        <v>1</v>
      </c>
      <c r="M25" s="6">
        <v>4.0</v>
      </c>
      <c r="N25" s="7" t="b">
        <v>1</v>
      </c>
      <c r="O25" s="6">
        <v>1665.0</v>
      </c>
      <c r="P25" s="7" t="b">
        <v>1</v>
      </c>
      <c r="Q25" s="6">
        <v>45.0</v>
      </c>
      <c r="R25" s="7" t="b">
        <v>1</v>
      </c>
    </row>
    <row r="26">
      <c r="B26" s="1">
        <v>82.0</v>
      </c>
      <c r="C26" s="1" t="b">
        <v>1</v>
      </c>
      <c r="D26" s="1" t="s">
        <v>48</v>
      </c>
      <c r="F26" s="4">
        <v>23.0</v>
      </c>
      <c r="G26" s="6">
        <v>169.0</v>
      </c>
      <c r="H26" s="7" t="b">
        <v>1</v>
      </c>
      <c r="I26" s="6">
        <v>8.0</v>
      </c>
      <c r="J26" s="7" t="b">
        <v>1</v>
      </c>
      <c r="K26" s="6">
        <v>45.0</v>
      </c>
      <c r="L26" s="7" t="b">
        <v>1</v>
      </c>
      <c r="M26" s="6">
        <v>4.0</v>
      </c>
      <c r="N26" s="7" t="b">
        <v>1</v>
      </c>
      <c r="O26" s="6">
        <v>1666.0</v>
      </c>
      <c r="P26" s="7" t="b">
        <v>1</v>
      </c>
      <c r="Q26" s="6">
        <v>44.0</v>
      </c>
      <c r="R26" s="7" t="b">
        <v>1</v>
      </c>
    </row>
    <row r="27">
      <c r="B27" s="1">
        <v>89.0</v>
      </c>
      <c r="C27" s="1" t="b">
        <v>1</v>
      </c>
      <c r="D27" s="1" t="s">
        <v>49</v>
      </c>
      <c r="F27" s="4">
        <v>24.0</v>
      </c>
      <c r="G27" s="6">
        <v>175.0</v>
      </c>
      <c r="H27" s="7" t="b">
        <v>1</v>
      </c>
      <c r="I27" s="6">
        <v>11.0</v>
      </c>
      <c r="J27" s="7" t="b">
        <v>1</v>
      </c>
      <c r="K27" s="6">
        <v>49.0</v>
      </c>
      <c r="L27" s="7" t="b">
        <v>1</v>
      </c>
      <c r="M27" s="6">
        <v>7.0</v>
      </c>
      <c r="N27" s="7" t="b">
        <v>1</v>
      </c>
      <c r="O27" s="6">
        <v>1657.0</v>
      </c>
      <c r="P27" s="7" t="b">
        <v>1</v>
      </c>
      <c r="Q27" s="6">
        <v>46.0</v>
      </c>
      <c r="R27" s="7" t="b">
        <v>1</v>
      </c>
    </row>
    <row r="28">
      <c r="B28" s="1">
        <v>93.0</v>
      </c>
      <c r="C28" s="1" t="b">
        <v>1</v>
      </c>
      <c r="D28" s="1" t="s">
        <v>51</v>
      </c>
      <c r="F28" s="4">
        <v>25.0</v>
      </c>
      <c r="G28" s="6">
        <v>156.0</v>
      </c>
      <c r="H28" s="7" t="b">
        <v>1</v>
      </c>
      <c r="I28" s="6">
        <v>18.0</v>
      </c>
      <c r="J28" s="7" t="b">
        <v>1</v>
      </c>
      <c r="K28" s="6">
        <v>55.0</v>
      </c>
      <c r="L28" s="7" t="b">
        <v>1</v>
      </c>
      <c r="M28" s="6">
        <v>13.0</v>
      </c>
      <c r="N28" s="7" t="b">
        <v>1</v>
      </c>
      <c r="O28" s="6">
        <v>1660.0</v>
      </c>
      <c r="P28" s="7" t="b">
        <v>1</v>
      </c>
      <c r="Q28" s="6">
        <v>51.0</v>
      </c>
      <c r="R28" s="7" t="b">
        <v>1</v>
      </c>
    </row>
    <row r="29">
      <c r="B29" s="1">
        <v>96.0</v>
      </c>
      <c r="C29" s="1" t="b">
        <v>1</v>
      </c>
      <c r="D29" s="1" t="s">
        <v>52</v>
      </c>
      <c r="F29" s="4">
        <v>26.0</v>
      </c>
      <c r="G29" s="6">
        <v>165.0</v>
      </c>
      <c r="H29" s="7" t="b">
        <v>1</v>
      </c>
      <c r="I29" s="6">
        <v>7.0</v>
      </c>
      <c r="J29" s="7" t="b">
        <v>1</v>
      </c>
      <c r="K29" s="6">
        <v>56.0</v>
      </c>
      <c r="L29" s="7" t="b">
        <v>1</v>
      </c>
      <c r="M29" s="6">
        <v>5.0</v>
      </c>
      <c r="N29" s="7" t="b">
        <v>1</v>
      </c>
      <c r="O29" s="6">
        <v>1662.0</v>
      </c>
      <c r="P29" s="7" t="b">
        <v>1</v>
      </c>
      <c r="Q29" s="6">
        <v>45.0</v>
      </c>
      <c r="R29" s="7" t="b">
        <v>1</v>
      </c>
    </row>
    <row r="30">
      <c r="B30" s="1">
        <v>100.0</v>
      </c>
      <c r="C30" s="1" t="b">
        <v>1</v>
      </c>
      <c r="D30" s="1" t="s">
        <v>53</v>
      </c>
      <c r="F30" s="4">
        <v>27.0</v>
      </c>
      <c r="G30" s="6">
        <v>152.0</v>
      </c>
      <c r="H30" s="7" t="b">
        <v>1</v>
      </c>
      <c r="I30" s="6">
        <v>16.0</v>
      </c>
      <c r="J30" s="7" t="b">
        <v>1</v>
      </c>
      <c r="K30" s="6">
        <v>54.0</v>
      </c>
      <c r="L30" s="7" t="b">
        <v>1</v>
      </c>
      <c r="M30" s="6">
        <v>11.0</v>
      </c>
      <c r="N30" s="7" t="b">
        <v>1</v>
      </c>
      <c r="O30" s="6">
        <v>1673.0</v>
      </c>
      <c r="P30" s="7" t="b">
        <v>1</v>
      </c>
      <c r="Q30" s="6">
        <v>48.0</v>
      </c>
      <c r="R30" s="7" t="b">
        <v>1</v>
      </c>
    </row>
    <row r="31">
      <c r="B31" s="1">
        <v>111.0</v>
      </c>
      <c r="C31" s="1" t="b">
        <v>1</v>
      </c>
      <c r="D31" s="1" t="s">
        <v>54</v>
      </c>
      <c r="F31" s="4">
        <v>28.0</v>
      </c>
      <c r="G31" s="6">
        <v>170.0</v>
      </c>
      <c r="H31" s="7" t="b">
        <v>1</v>
      </c>
      <c r="I31" s="6">
        <v>15.0</v>
      </c>
      <c r="J31" s="7" t="b">
        <v>1</v>
      </c>
      <c r="K31" s="6">
        <v>52.0</v>
      </c>
      <c r="L31" s="7" t="b">
        <v>1</v>
      </c>
      <c r="M31" s="6">
        <v>7.0</v>
      </c>
      <c r="N31" s="7" t="b">
        <v>1</v>
      </c>
      <c r="O31" s="6">
        <v>1662.0</v>
      </c>
      <c r="P31" s="7" t="b">
        <v>1</v>
      </c>
      <c r="Q31" s="6">
        <v>47.0</v>
      </c>
      <c r="R31" s="7" t="b">
        <v>1</v>
      </c>
    </row>
    <row r="32">
      <c r="B32" s="1">
        <v>112.0</v>
      </c>
      <c r="C32" s="1" t="b">
        <v>1</v>
      </c>
      <c r="D32" s="1" t="s">
        <v>56</v>
      </c>
      <c r="F32" s="4">
        <v>29.0</v>
      </c>
      <c r="G32" s="6">
        <v>158.0</v>
      </c>
      <c r="H32" s="7" t="b">
        <v>1</v>
      </c>
      <c r="I32" s="8">
        <v>32.0</v>
      </c>
      <c r="J32" s="7" t="b">
        <v>1</v>
      </c>
      <c r="K32" s="6">
        <v>50.0</v>
      </c>
      <c r="L32" s="7" t="b">
        <v>1</v>
      </c>
      <c r="M32" s="6">
        <v>22.0</v>
      </c>
      <c r="N32" s="7" t="b">
        <v>1</v>
      </c>
      <c r="O32" s="6">
        <v>1663.0</v>
      </c>
      <c r="P32" s="7" t="b">
        <v>1</v>
      </c>
      <c r="Q32" s="8">
        <v>65.0</v>
      </c>
      <c r="R32" s="7" t="b">
        <v>1</v>
      </c>
    </row>
    <row r="33">
      <c r="B33" s="1">
        <v>115.0</v>
      </c>
      <c r="C33" s="1" t="b">
        <v>1</v>
      </c>
      <c r="D33" s="1" t="s">
        <v>57</v>
      </c>
      <c r="F33" s="4">
        <v>30.0</v>
      </c>
      <c r="G33" s="6">
        <v>164.0</v>
      </c>
      <c r="H33" s="7" t="b">
        <v>1</v>
      </c>
      <c r="I33" s="6">
        <v>8.0</v>
      </c>
      <c r="J33" s="7" t="b">
        <v>1</v>
      </c>
      <c r="K33" s="6">
        <v>55.0</v>
      </c>
      <c r="L33" s="7" t="b">
        <v>1</v>
      </c>
      <c r="M33" s="6">
        <v>6.0</v>
      </c>
      <c r="N33" s="7" t="b">
        <v>1</v>
      </c>
      <c r="O33" s="6">
        <v>1666.0</v>
      </c>
      <c r="P33" s="7" t="b">
        <v>1</v>
      </c>
      <c r="Q33" s="6">
        <v>44.0</v>
      </c>
      <c r="R33" s="7" t="b">
        <v>1</v>
      </c>
    </row>
    <row r="34">
      <c r="B34" s="1">
        <v>117.0</v>
      </c>
      <c r="C34" s="1" t="b">
        <v>1</v>
      </c>
      <c r="D34" s="1" t="s">
        <v>58</v>
      </c>
      <c r="F34" s="4">
        <v>31.0</v>
      </c>
      <c r="G34" s="6">
        <v>165.0</v>
      </c>
      <c r="H34" s="7" t="b">
        <v>1</v>
      </c>
      <c r="I34" s="6">
        <v>12.0</v>
      </c>
      <c r="J34" s="7" t="b">
        <v>1</v>
      </c>
      <c r="K34" s="6">
        <v>47.0</v>
      </c>
      <c r="L34" s="7" t="b">
        <v>1</v>
      </c>
      <c r="M34" s="6">
        <v>5.0</v>
      </c>
      <c r="N34" s="7" t="b">
        <v>1</v>
      </c>
      <c r="O34" s="6">
        <v>1673.0</v>
      </c>
      <c r="P34" s="7" t="b">
        <v>1</v>
      </c>
      <c r="Q34" s="6">
        <v>46.0</v>
      </c>
      <c r="R34" s="7" t="b">
        <v>1</v>
      </c>
    </row>
    <row r="35">
      <c r="B35" s="1">
        <v>118.0</v>
      </c>
      <c r="C35" s="1" t="b">
        <v>1</v>
      </c>
      <c r="D35" s="1" t="s">
        <v>59</v>
      </c>
      <c r="F35" s="4">
        <v>32.0</v>
      </c>
      <c r="G35" s="6">
        <v>157.0</v>
      </c>
      <c r="H35" s="7" t="b">
        <v>1</v>
      </c>
      <c r="I35" s="6">
        <v>33.0</v>
      </c>
      <c r="J35" s="7" t="b">
        <v>1</v>
      </c>
      <c r="K35" s="6">
        <v>47.0</v>
      </c>
      <c r="L35" s="7" t="b">
        <v>1</v>
      </c>
      <c r="M35" s="6">
        <v>17.0</v>
      </c>
      <c r="N35" s="7" t="b">
        <v>1</v>
      </c>
      <c r="O35" s="6">
        <v>1664.0</v>
      </c>
      <c r="P35" s="7" t="b">
        <v>1</v>
      </c>
      <c r="Q35" s="8">
        <v>57.0</v>
      </c>
      <c r="R35" s="7" t="b">
        <v>1</v>
      </c>
    </row>
    <row r="36">
      <c r="B36" s="1">
        <v>119.0</v>
      </c>
      <c r="C36" s="1" t="b">
        <v>1</v>
      </c>
      <c r="D36" s="1" t="s">
        <v>60</v>
      </c>
      <c r="F36" s="4">
        <v>33.0</v>
      </c>
      <c r="G36" s="6">
        <v>156.0</v>
      </c>
      <c r="H36" s="7" t="b">
        <v>1</v>
      </c>
      <c r="I36" s="6">
        <v>22.0</v>
      </c>
      <c r="J36" s="7" t="b">
        <v>1</v>
      </c>
      <c r="K36" s="6">
        <v>53.0</v>
      </c>
      <c r="L36" s="7" t="b">
        <v>1</v>
      </c>
      <c r="M36" s="6">
        <v>15.0</v>
      </c>
      <c r="N36" s="7" t="b">
        <v>1</v>
      </c>
      <c r="O36" s="6">
        <v>1663.0</v>
      </c>
      <c r="P36" s="7" t="b">
        <v>1</v>
      </c>
      <c r="Q36" s="6">
        <v>49.0</v>
      </c>
      <c r="R36" s="7" t="b">
        <v>1</v>
      </c>
    </row>
    <row r="37">
      <c r="B37" s="1">
        <v>122.0</v>
      </c>
      <c r="C37" s="1" t="b">
        <v>1</v>
      </c>
      <c r="D37" s="1" t="s">
        <v>61</v>
      </c>
      <c r="F37" s="4">
        <v>34.0</v>
      </c>
      <c r="G37" s="6">
        <v>173.0</v>
      </c>
      <c r="H37" s="7" t="b">
        <v>1</v>
      </c>
      <c r="I37" s="6">
        <v>16.0</v>
      </c>
      <c r="J37" s="7" t="b">
        <v>1</v>
      </c>
      <c r="K37" s="6">
        <v>54.0</v>
      </c>
      <c r="L37" s="7" t="b">
        <v>1</v>
      </c>
      <c r="M37" s="6">
        <v>11.0</v>
      </c>
      <c r="N37" s="7" t="b">
        <v>1</v>
      </c>
      <c r="O37" s="6">
        <v>1671.0</v>
      </c>
      <c r="P37" s="7" t="b">
        <v>1</v>
      </c>
      <c r="Q37" s="6">
        <v>49.0</v>
      </c>
      <c r="R37" s="7" t="b">
        <v>1</v>
      </c>
    </row>
    <row r="38">
      <c r="B38" s="1">
        <v>123.0</v>
      </c>
      <c r="C38" s="1" t="b">
        <v>1</v>
      </c>
      <c r="D38" s="1" t="s">
        <v>62</v>
      </c>
      <c r="F38" s="4">
        <v>35.0</v>
      </c>
      <c r="G38" s="6">
        <v>151.0</v>
      </c>
      <c r="H38" s="7" t="b">
        <v>1</v>
      </c>
      <c r="I38" s="6">
        <v>16.0</v>
      </c>
      <c r="J38" s="7" t="b">
        <v>1</v>
      </c>
      <c r="K38" s="6">
        <v>52.0</v>
      </c>
      <c r="L38" s="7" t="b">
        <v>1</v>
      </c>
      <c r="M38" s="6">
        <v>12.0</v>
      </c>
      <c r="N38" s="7" t="b">
        <v>1</v>
      </c>
      <c r="O38" s="6">
        <v>1666.0</v>
      </c>
      <c r="P38" s="7" t="b">
        <v>1</v>
      </c>
      <c r="Q38" s="6">
        <v>48.0</v>
      </c>
      <c r="R38" s="7" t="b">
        <v>1</v>
      </c>
    </row>
    <row r="39">
      <c r="B39" s="1">
        <v>131.0</v>
      </c>
      <c r="C39" s="1" t="b">
        <v>1</v>
      </c>
      <c r="D39" s="1" t="s">
        <v>63</v>
      </c>
      <c r="F39" s="4">
        <v>36.0</v>
      </c>
      <c r="G39" s="6">
        <v>154.0</v>
      </c>
      <c r="H39" s="7" t="b">
        <v>1</v>
      </c>
      <c r="I39" s="6">
        <v>17.0</v>
      </c>
      <c r="J39" s="7" t="b">
        <v>1</v>
      </c>
      <c r="K39" s="6">
        <v>55.0</v>
      </c>
      <c r="L39" s="7" t="b">
        <v>1</v>
      </c>
      <c r="M39" s="6">
        <v>13.0</v>
      </c>
      <c r="N39" s="7" t="b">
        <v>1</v>
      </c>
      <c r="O39" s="6">
        <v>1662.0</v>
      </c>
      <c r="P39" s="7" t="b">
        <v>1</v>
      </c>
      <c r="Q39" s="6">
        <v>52.0</v>
      </c>
      <c r="R39" s="7" t="b">
        <v>1</v>
      </c>
    </row>
    <row r="40">
      <c r="B40" s="1">
        <v>141.0</v>
      </c>
      <c r="C40" s="1" t="b">
        <v>1</v>
      </c>
      <c r="D40" s="1" t="s">
        <v>64</v>
      </c>
      <c r="F40" s="4">
        <v>37.0</v>
      </c>
      <c r="G40" s="6">
        <v>164.0</v>
      </c>
      <c r="H40" s="7" t="b">
        <v>1</v>
      </c>
      <c r="I40" s="6">
        <v>15.0</v>
      </c>
      <c r="J40" s="7" t="b">
        <v>1</v>
      </c>
      <c r="K40" s="6">
        <v>45.0</v>
      </c>
      <c r="L40" s="7" t="b">
        <v>1</v>
      </c>
      <c r="M40" s="6">
        <v>8.0</v>
      </c>
      <c r="N40" s="7" t="b">
        <v>1</v>
      </c>
      <c r="O40" s="6">
        <v>1672.0</v>
      </c>
      <c r="P40" s="7" t="b">
        <v>1</v>
      </c>
      <c r="Q40" s="6">
        <v>47.0</v>
      </c>
      <c r="R40" s="7" t="b">
        <v>1</v>
      </c>
    </row>
    <row r="41">
      <c r="B41" s="1">
        <v>146.0</v>
      </c>
      <c r="C41" s="1" t="b">
        <v>1</v>
      </c>
      <c r="D41" s="1" t="s">
        <v>65</v>
      </c>
      <c r="F41" s="4">
        <v>38.0</v>
      </c>
      <c r="G41" s="6">
        <v>150.0</v>
      </c>
      <c r="H41" s="7" t="b">
        <v>1</v>
      </c>
      <c r="I41" s="6">
        <v>11.0</v>
      </c>
      <c r="J41" s="7" t="b">
        <v>1</v>
      </c>
      <c r="K41" s="6">
        <v>58.0</v>
      </c>
      <c r="L41" s="7" t="b">
        <v>1</v>
      </c>
      <c r="M41" s="6">
        <v>6.0</v>
      </c>
      <c r="N41" s="7" t="b">
        <v>1</v>
      </c>
      <c r="O41" s="6">
        <v>1671.0</v>
      </c>
      <c r="P41" s="7" t="b">
        <v>1</v>
      </c>
      <c r="Q41" s="6">
        <v>46.0</v>
      </c>
      <c r="R41" s="7" t="b">
        <v>1</v>
      </c>
    </row>
    <row r="42">
      <c r="B42" s="1">
        <v>148.0</v>
      </c>
      <c r="C42" s="1" t="b">
        <v>1</v>
      </c>
      <c r="D42" s="1" t="s">
        <v>66</v>
      </c>
      <c r="F42" s="4">
        <v>39.0</v>
      </c>
      <c r="G42" s="6">
        <v>148.0</v>
      </c>
      <c r="H42" s="7" t="b">
        <v>1</v>
      </c>
      <c r="I42" s="6">
        <v>8.0</v>
      </c>
      <c r="J42" s="7" t="b">
        <v>1</v>
      </c>
      <c r="K42" s="6">
        <v>51.0</v>
      </c>
      <c r="L42" s="7" t="b">
        <v>1</v>
      </c>
      <c r="M42" s="6">
        <v>6.0</v>
      </c>
      <c r="N42" s="7" t="b">
        <v>1</v>
      </c>
      <c r="O42" s="6">
        <v>1665.0</v>
      </c>
      <c r="P42" s="7" t="b">
        <v>1</v>
      </c>
      <c r="Q42" s="6">
        <v>46.0</v>
      </c>
      <c r="R42" s="7" t="b">
        <v>1</v>
      </c>
    </row>
    <row r="43">
      <c r="B43" s="1">
        <v>159.0</v>
      </c>
      <c r="C43" s="1" t="b">
        <v>1</v>
      </c>
      <c r="D43" s="1" t="s">
        <v>67</v>
      </c>
      <c r="F43" s="4">
        <v>40.0</v>
      </c>
      <c r="G43" s="8">
        <v>211.0</v>
      </c>
      <c r="H43" s="7" t="b">
        <v>1</v>
      </c>
      <c r="I43" s="6">
        <v>11.0</v>
      </c>
      <c r="J43" s="7" t="b">
        <v>1</v>
      </c>
      <c r="K43" s="6">
        <v>60.0</v>
      </c>
      <c r="L43" s="7" t="b">
        <v>1</v>
      </c>
      <c r="M43" s="6">
        <v>12.0</v>
      </c>
      <c r="N43" s="7" t="b">
        <v>1</v>
      </c>
      <c r="O43" s="6">
        <v>1664.0</v>
      </c>
      <c r="P43" s="7" t="b">
        <v>1</v>
      </c>
      <c r="Q43" s="6">
        <v>48.0</v>
      </c>
      <c r="R43" s="7" t="b">
        <v>1</v>
      </c>
    </row>
    <row r="44">
      <c r="B44" s="1">
        <v>163.0</v>
      </c>
      <c r="C44" s="1" t="b">
        <v>1</v>
      </c>
      <c r="D44" s="1" t="s">
        <v>68</v>
      </c>
      <c r="F44" s="4">
        <v>41.0</v>
      </c>
      <c r="G44" s="8">
        <v>238.0</v>
      </c>
      <c r="H44" s="7" t="b">
        <v>1</v>
      </c>
      <c r="I44" s="6">
        <v>21.0</v>
      </c>
      <c r="J44" s="7" t="b">
        <v>1</v>
      </c>
      <c r="K44" s="6">
        <v>48.0</v>
      </c>
      <c r="L44" s="7" t="b">
        <v>1</v>
      </c>
      <c r="M44" s="6">
        <v>9.0</v>
      </c>
      <c r="N44" s="7" t="b">
        <v>1</v>
      </c>
      <c r="O44" s="6">
        <v>1680.0</v>
      </c>
      <c r="P44" s="7" t="b">
        <v>1</v>
      </c>
      <c r="Q44" s="6">
        <v>48.0</v>
      </c>
      <c r="R44" s="7" t="b">
        <v>1</v>
      </c>
    </row>
    <row r="45">
      <c r="B45" s="1">
        <v>167.0</v>
      </c>
      <c r="C45" s="1" t="b">
        <v>1</v>
      </c>
      <c r="D45" s="1" t="s">
        <v>70</v>
      </c>
      <c r="F45" s="4">
        <v>42.0</v>
      </c>
      <c r="G45" s="6">
        <v>149.0</v>
      </c>
      <c r="H45" s="7" t="b">
        <v>1</v>
      </c>
      <c r="I45" s="6">
        <v>10.0</v>
      </c>
      <c r="J45" s="7" t="b">
        <v>1</v>
      </c>
      <c r="K45" s="6">
        <v>57.0</v>
      </c>
      <c r="L45" s="7" t="b">
        <v>1</v>
      </c>
      <c r="M45" s="6">
        <v>5.0</v>
      </c>
      <c r="N45" s="7" t="b">
        <v>1</v>
      </c>
      <c r="O45" s="6">
        <v>1658.0</v>
      </c>
      <c r="P45" s="7" t="b">
        <v>1</v>
      </c>
      <c r="Q45" s="6">
        <v>46.0</v>
      </c>
      <c r="R45" s="7" t="b">
        <v>1</v>
      </c>
    </row>
    <row r="46">
      <c r="B46" s="1">
        <v>171.0</v>
      </c>
      <c r="C46" s="1" t="b">
        <v>1</v>
      </c>
      <c r="D46" s="1" t="s">
        <v>72</v>
      </c>
      <c r="F46" s="4">
        <v>43.0</v>
      </c>
      <c r="G46" s="6">
        <v>160.0</v>
      </c>
      <c r="H46" s="7" t="b">
        <v>1</v>
      </c>
      <c r="I46" s="6">
        <v>18.0</v>
      </c>
      <c r="J46" s="7" t="b">
        <v>1</v>
      </c>
      <c r="K46" s="6">
        <v>53.0</v>
      </c>
      <c r="L46" s="7" t="b">
        <v>1</v>
      </c>
      <c r="M46" s="6">
        <v>13.0</v>
      </c>
      <c r="N46" s="7" t="b">
        <v>1</v>
      </c>
      <c r="O46" s="6">
        <v>1663.0</v>
      </c>
      <c r="P46" s="7" t="b">
        <v>1</v>
      </c>
      <c r="Q46" s="6">
        <v>51.0</v>
      </c>
      <c r="R46" s="7" t="b">
        <v>1</v>
      </c>
    </row>
    <row r="47">
      <c r="B47" s="1">
        <v>177.0</v>
      </c>
      <c r="C47" s="1" t="b">
        <v>1</v>
      </c>
      <c r="D47" s="1" t="s">
        <v>73</v>
      </c>
      <c r="F47" s="4">
        <v>44.0</v>
      </c>
      <c r="G47" s="6">
        <v>163.0</v>
      </c>
      <c r="H47" s="7" t="b">
        <v>1</v>
      </c>
      <c r="I47" s="6">
        <v>18.0</v>
      </c>
      <c r="J47" s="7" t="b">
        <v>1</v>
      </c>
      <c r="K47" s="6">
        <v>57.0</v>
      </c>
      <c r="L47" s="7" t="b">
        <v>1</v>
      </c>
      <c r="M47" s="6">
        <v>12.0</v>
      </c>
      <c r="N47" s="7" t="b">
        <v>1</v>
      </c>
      <c r="O47" s="6">
        <v>1667.0</v>
      </c>
      <c r="P47" s="7" t="b">
        <v>1</v>
      </c>
      <c r="Q47" s="6">
        <v>51.0</v>
      </c>
      <c r="R47" s="7" t="b">
        <v>1</v>
      </c>
    </row>
    <row r="48">
      <c r="B48" s="1">
        <v>180.0</v>
      </c>
      <c r="C48" s="1" t="b">
        <v>1</v>
      </c>
      <c r="D48" s="1" t="s">
        <v>75</v>
      </c>
      <c r="F48" s="4">
        <v>45.0</v>
      </c>
      <c r="G48" s="6">
        <v>158.0</v>
      </c>
      <c r="H48" s="7" t="b">
        <v>1</v>
      </c>
      <c r="I48" s="6">
        <v>19.0</v>
      </c>
      <c r="J48" s="7" t="b">
        <v>1</v>
      </c>
      <c r="K48" s="6">
        <v>59.0</v>
      </c>
      <c r="L48" s="7" t="b">
        <v>1</v>
      </c>
      <c r="M48" s="6">
        <v>13.0</v>
      </c>
      <c r="N48" s="7" t="b">
        <v>1</v>
      </c>
      <c r="O48" s="6">
        <v>1657.0</v>
      </c>
      <c r="P48" s="7" t="b">
        <v>1</v>
      </c>
      <c r="Q48" s="6">
        <v>49.0</v>
      </c>
      <c r="R48" s="7" t="b">
        <v>1</v>
      </c>
    </row>
    <row r="49">
      <c r="B49" s="1">
        <v>184.0</v>
      </c>
      <c r="C49" s="1" t="b">
        <v>1</v>
      </c>
      <c r="D49" s="1" t="s">
        <v>76</v>
      </c>
      <c r="F49" s="4">
        <v>46.0</v>
      </c>
      <c r="G49" s="6">
        <v>151.0</v>
      </c>
      <c r="H49" s="7" t="b">
        <v>1</v>
      </c>
      <c r="I49" s="6">
        <v>19.0</v>
      </c>
      <c r="J49" s="7" t="b">
        <v>1</v>
      </c>
      <c r="K49" s="6">
        <v>59.0</v>
      </c>
      <c r="L49" s="7" t="b">
        <v>1</v>
      </c>
      <c r="M49" s="6">
        <v>11.0</v>
      </c>
      <c r="N49" s="7" t="b">
        <v>1</v>
      </c>
      <c r="O49" s="6">
        <v>1673.0</v>
      </c>
      <c r="P49" s="7" t="b">
        <v>1</v>
      </c>
      <c r="Q49" s="6">
        <v>48.0</v>
      </c>
      <c r="R49" s="7" t="b">
        <v>1</v>
      </c>
    </row>
    <row r="50">
      <c r="B50" s="1">
        <v>187.0</v>
      </c>
      <c r="C50" s="1" t="b">
        <v>1</v>
      </c>
      <c r="D50" s="1" t="s">
        <v>77</v>
      </c>
      <c r="F50" s="4">
        <v>47.0</v>
      </c>
      <c r="G50" s="6">
        <v>165.0</v>
      </c>
      <c r="H50" s="7" t="b">
        <v>1</v>
      </c>
      <c r="I50" s="6">
        <v>14.0</v>
      </c>
      <c r="J50" s="7" t="b">
        <v>1</v>
      </c>
      <c r="K50" s="6">
        <v>44.0</v>
      </c>
      <c r="L50" s="7" t="b">
        <v>1</v>
      </c>
      <c r="M50" s="6">
        <v>6.0</v>
      </c>
      <c r="N50" s="7" t="b">
        <v>1</v>
      </c>
      <c r="O50" s="6">
        <v>1672.0</v>
      </c>
      <c r="P50" s="7" t="b">
        <v>1</v>
      </c>
      <c r="Q50" s="6">
        <v>46.0</v>
      </c>
      <c r="R50" s="7" t="b">
        <v>1</v>
      </c>
    </row>
    <row r="51">
      <c r="B51" s="1">
        <v>195.0</v>
      </c>
      <c r="C51" s="1" t="b">
        <v>1</v>
      </c>
      <c r="D51" s="1" t="s">
        <v>78</v>
      </c>
      <c r="F51" s="4">
        <v>48.0</v>
      </c>
      <c r="G51" s="6">
        <v>153.0</v>
      </c>
      <c r="H51" s="7" t="b">
        <v>1</v>
      </c>
      <c r="I51" s="6">
        <v>15.0</v>
      </c>
      <c r="J51" s="7" t="b">
        <v>1</v>
      </c>
      <c r="K51" s="6">
        <v>48.0</v>
      </c>
      <c r="L51" s="7" t="b">
        <v>1</v>
      </c>
      <c r="M51" s="6">
        <v>6.0</v>
      </c>
      <c r="N51" s="7" t="b">
        <v>1</v>
      </c>
      <c r="O51" s="6">
        <v>1669.0</v>
      </c>
      <c r="P51" s="7" t="b">
        <v>1</v>
      </c>
      <c r="Q51" s="6">
        <v>47.0</v>
      </c>
      <c r="R51" s="7" t="b">
        <v>1</v>
      </c>
    </row>
    <row r="52">
      <c r="B52" s="1">
        <v>196.0</v>
      </c>
      <c r="C52" s="1" t="b">
        <v>1</v>
      </c>
      <c r="D52" s="1" t="s">
        <v>79</v>
      </c>
      <c r="F52" s="4">
        <v>49.0</v>
      </c>
      <c r="G52" s="8">
        <v>239.0</v>
      </c>
      <c r="H52" s="7" t="b">
        <v>1</v>
      </c>
      <c r="I52" s="6">
        <v>21.0</v>
      </c>
      <c r="J52" s="7" t="b">
        <v>1</v>
      </c>
      <c r="K52" s="6">
        <v>60.0</v>
      </c>
      <c r="L52" s="7" t="b">
        <v>1</v>
      </c>
      <c r="M52" s="6">
        <v>16.0</v>
      </c>
      <c r="N52" s="7" t="b">
        <v>1</v>
      </c>
      <c r="O52" s="6">
        <v>1660.0</v>
      </c>
      <c r="P52" s="7" t="b">
        <v>1</v>
      </c>
      <c r="Q52" s="6">
        <v>52.0</v>
      </c>
      <c r="R52" s="7" t="b">
        <v>1</v>
      </c>
    </row>
    <row r="53">
      <c r="B53" s="1">
        <v>206.0</v>
      </c>
      <c r="C53" s="1" t="b">
        <v>1</v>
      </c>
      <c r="D53" s="1" t="s">
        <v>80</v>
      </c>
      <c r="F53" s="4">
        <v>50.0</v>
      </c>
      <c r="G53" s="6">
        <v>154.0</v>
      </c>
      <c r="H53" s="7" t="b">
        <v>1</v>
      </c>
      <c r="I53" s="6">
        <v>13.0</v>
      </c>
      <c r="J53" s="7" t="b">
        <v>1</v>
      </c>
      <c r="K53" s="6">
        <v>48.0</v>
      </c>
      <c r="L53" s="7" t="b">
        <v>1</v>
      </c>
      <c r="M53" s="6">
        <v>10.0</v>
      </c>
      <c r="N53" s="7" t="b">
        <v>1</v>
      </c>
      <c r="O53" s="6">
        <v>1658.0</v>
      </c>
      <c r="P53" s="7" t="b">
        <v>1</v>
      </c>
      <c r="Q53" s="6">
        <v>50.0</v>
      </c>
      <c r="R53" s="7" t="b">
        <v>1</v>
      </c>
    </row>
    <row r="58">
      <c r="E58" s="1" t="s">
        <v>81</v>
      </c>
      <c r="G58" s="1" t="s">
        <v>82</v>
      </c>
      <c r="I58" s="1" t="s">
        <v>83</v>
      </c>
      <c r="K58" s="1" t="s">
        <v>84</v>
      </c>
      <c r="M58" s="1" t="s">
        <v>85</v>
      </c>
      <c r="O58" s="1" t="s">
        <v>86</v>
      </c>
      <c r="Q58" s="1" t="s">
        <v>87</v>
      </c>
    </row>
    <row r="59">
      <c r="E59" s="1" t="s">
        <v>88</v>
      </c>
      <c r="G59" s="1" t="s">
        <v>89</v>
      </c>
      <c r="I59" s="1" t="s">
        <v>90</v>
      </c>
      <c r="K59" s="1" t="s">
        <v>91</v>
      </c>
      <c r="M59" s="1" t="s">
        <v>92</v>
      </c>
      <c r="O59" s="1" t="s">
        <v>93</v>
      </c>
      <c r="Q59" s="1" t="s">
        <v>94</v>
      </c>
    </row>
    <row r="60">
      <c r="E60" s="1" t="s">
        <v>95</v>
      </c>
      <c r="G60" s="1" t="s">
        <v>96</v>
      </c>
      <c r="I60" s="1" t="s">
        <v>97</v>
      </c>
      <c r="K60" s="1" t="s">
        <v>98</v>
      </c>
      <c r="M60" s="1" t="s">
        <v>100</v>
      </c>
      <c r="O60" s="1" t="s">
        <v>102</v>
      </c>
      <c r="P60" s="1" t="s">
        <v>104</v>
      </c>
      <c r="Q60" s="1" t="s">
        <v>106</v>
      </c>
    </row>
    <row r="61">
      <c r="E61" s="1" t="s">
        <v>107</v>
      </c>
    </row>
    <row r="62">
      <c r="E62" s="1" t="s">
        <v>109</v>
      </c>
      <c r="G62" s="1" t="s">
        <v>111</v>
      </c>
      <c r="I62" s="1" t="s">
        <v>112</v>
      </c>
      <c r="K62" s="1" t="s">
        <v>113</v>
      </c>
      <c r="M62" s="1" t="s">
        <v>115</v>
      </c>
      <c r="O62" s="1" t="s">
        <v>116</v>
      </c>
      <c r="Q62" s="1" t="s">
        <v>118</v>
      </c>
    </row>
    <row r="63">
      <c r="E63" s="1" t="s">
        <v>120</v>
      </c>
      <c r="G63" s="3">
        <f>QUARTILE(G4:G53,1)</f>
        <v>152.25</v>
      </c>
      <c r="I63" s="3">
        <f>QUARTILE(I4:I53,1)</f>
        <v>10</v>
      </c>
      <c r="K63" s="3">
        <f>QUARTILE(K4:K53,1)</f>
        <v>48</v>
      </c>
      <c r="M63" s="3">
        <f>QUARTILE(M4:M53,1)</f>
        <v>6</v>
      </c>
      <c r="O63" s="3">
        <f>QUARTILE(O4:O53,1)</f>
        <v>1662</v>
      </c>
      <c r="Q63" s="3">
        <f>QUARTILE(Q4:Q53,1)</f>
        <v>46</v>
      </c>
    </row>
    <row r="64">
      <c r="E64" s="1" t="s">
        <v>127</v>
      </c>
      <c r="G64" s="3">
        <f>QUARTILE(G4:G53,3)</f>
        <v>165</v>
      </c>
      <c r="I64" s="3">
        <f>QUARTILE(I4:I53,3)</f>
        <v>18</v>
      </c>
      <c r="K64" s="3">
        <f>QUARTILE(K4:K53,3)</f>
        <v>55.75</v>
      </c>
      <c r="M64" s="3">
        <f>QUARTILE(M4:M53,3)</f>
        <v>12.75</v>
      </c>
      <c r="O64" s="3">
        <f>QUARTILE(O4:O53,3)</f>
        <v>1672.75</v>
      </c>
      <c r="Q64" s="3">
        <f>QUARTILE(Q4:Q53,3)</f>
        <v>49</v>
      </c>
    </row>
    <row r="65">
      <c r="E65" s="1" t="s">
        <v>143</v>
      </c>
      <c r="G65" s="3">
        <f>G64-G63</f>
        <v>12.75</v>
      </c>
      <c r="I65" s="3">
        <f>I64-I63</f>
        <v>8</v>
      </c>
      <c r="K65" s="3">
        <f>K64-K63</f>
        <v>7.75</v>
      </c>
      <c r="M65" s="3">
        <f>M64-M63</f>
        <v>6.75</v>
      </c>
      <c r="O65" s="3">
        <f>O64-O63</f>
        <v>10.75</v>
      </c>
      <c r="Q65" s="3">
        <f>Q64-Q63</f>
        <v>3</v>
      </c>
    </row>
    <row r="66">
      <c r="E66" s="1" t="s">
        <v>146</v>
      </c>
      <c r="G66" s="3">
        <f>1.5*G65</f>
        <v>19.125</v>
      </c>
      <c r="I66" s="3">
        <f>1.5*I65</f>
        <v>12</v>
      </c>
      <c r="K66" s="3">
        <f>1.5*K65</f>
        <v>11.625</v>
      </c>
      <c r="M66" s="3">
        <f>1.5*M65</f>
        <v>10.125</v>
      </c>
      <c r="O66" s="3">
        <f>1.5*O65</f>
        <v>16.125</v>
      </c>
      <c r="Q66" s="3">
        <f>1.5*Q65</f>
        <v>4.5</v>
      </c>
    </row>
    <row r="67">
      <c r="E67" s="1" t="s">
        <v>5</v>
      </c>
      <c r="G67" s="3">
        <f>G64+G66</f>
        <v>184.125</v>
      </c>
      <c r="I67" s="3">
        <f>I64+I66</f>
        <v>30</v>
      </c>
      <c r="K67" s="3">
        <f>K64+K66</f>
        <v>67.375</v>
      </c>
      <c r="M67" s="3">
        <f>M64+M66</f>
        <v>22.875</v>
      </c>
      <c r="O67" s="3">
        <f>O64+O66</f>
        <v>1688.875</v>
      </c>
      <c r="Q67" s="3">
        <f>Q64+Q66</f>
        <v>53.5</v>
      </c>
    </row>
    <row r="68">
      <c r="E68" s="1" t="s">
        <v>10</v>
      </c>
      <c r="G68" s="3">
        <f>G63-G66</f>
        <v>133.125</v>
      </c>
      <c r="I68" s="3">
        <f>I63-I66</f>
        <v>-2</v>
      </c>
      <c r="K68" s="3">
        <f>K63-K66</f>
        <v>36.375</v>
      </c>
      <c r="M68" s="3">
        <f>M63-M66</f>
        <v>-4.125</v>
      </c>
      <c r="O68" s="3">
        <f>O63-O66</f>
        <v>1645.875</v>
      </c>
      <c r="Q68" s="3">
        <f>Q63-Q66</f>
        <v>41.5</v>
      </c>
    </row>
    <row r="69">
      <c r="E69" s="1" t="s">
        <v>150</v>
      </c>
    </row>
    <row r="70">
      <c r="E70" s="1" t="s">
        <v>151</v>
      </c>
    </row>
    <row r="79">
      <c r="G79" s="1" t="s">
        <v>152</v>
      </c>
    </row>
    <row r="80">
      <c r="G80" s="1" t="s">
        <v>32</v>
      </c>
      <c r="H80" s="15">
        <f>TTEST(G4:G53,I4:I53,2,1)</f>
        <v>0</v>
      </c>
    </row>
    <row r="81">
      <c r="G81" s="1" t="s">
        <v>55</v>
      </c>
      <c r="H81" s="15">
        <f>TTEST(K4:K53,M4:M53,2,1)</f>
        <v>0</v>
      </c>
    </row>
    <row r="82">
      <c r="G82" s="1" t="s">
        <v>153</v>
      </c>
      <c r="H82" s="15">
        <f>TTEST(O4:O53,Q4:Q53,2,1)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4.25"/>
    <col customWidth="1" min="2" max="2" width="3.88"/>
    <col customWidth="1" min="3" max="3" width="3.13"/>
    <col customWidth="1" min="4" max="4" width="35.13"/>
  </cols>
  <sheetData>
    <row r="1">
      <c r="A1" s="1" t="s">
        <v>1</v>
      </c>
      <c r="B1" s="1" t="s">
        <v>3</v>
      </c>
      <c r="D1" s="1" t="s">
        <v>4</v>
      </c>
      <c r="F1" s="4" t="s">
        <v>6</v>
      </c>
      <c r="G1" s="1" t="s">
        <v>7</v>
      </c>
      <c r="H1" s="4"/>
      <c r="I1" s="1" t="s">
        <v>9</v>
      </c>
      <c r="J1" s="4"/>
      <c r="K1" s="1" t="s">
        <v>11</v>
      </c>
      <c r="L1" s="4"/>
      <c r="M1" s="1" t="s">
        <v>12</v>
      </c>
      <c r="N1" s="4"/>
      <c r="O1" s="1" t="s">
        <v>13</v>
      </c>
      <c r="P1" s="4"/>
      <c r="Q1" s="1" t="s">
        <v>14</v>
      </c>
      <c r="R1" s="4"/>
    </row>
    <row r="2">
      <c r="B2" s="1">
        <v>2.0</v>
      </c>
      <c r="C2" s="1" t="b">
        <v>1</v>
      </c>
      <c r="D2" s="1" t="s">
        <v>15</v>
      </c>
      <c r="F2" s="4">
        <v>1.0</v>
      </c>
      <c r="G2" s="1">
        <v>257.0</v>
      </c>
      <c r="H2" s="4" t="b">
        <v>1</v>
      </c>
      <c r="I2" s="1">
        <v>26.0</v>
      </c>
      <c r="J2" s="4" t="b">
        <v>1</v>
      </c>
      <c r="K2" s="1">
        <v>76.0</v>
      </c>
      <c r="L2" s="4" t="b">
        <v>1</v>
      </c>
      <c r="M2" s="1">
        <v>21.0</v>
      </c>
      <c r="N2" s="4" t="b">
        <v>1</v>
      </c>
      <c r="O2" s="1">
        <v>1644.0</v>
      </c>
      <c r="P2" s="4" t="b">
        <v>1</v>
      </c>
      <c r="Q2" s="1">
        <v>50.0</v>
      </c>
      <c r="R2" s="4" t="b">
        <v>1</v>
      </c>
    </row>
    <row r="3">
      <c r="B3" s="1">
        <v>3.0</v>
      </c>
      <c r="C3" s="1" t="b">
        <v>1</v>
      </c>
      <c r="D3" s="1" t="s">
        <v>16</v>
      </c>
      <c r="F3" s="4">
        <v>2.0</v>
      </c>
      <c r="G3" s="1">
        <v>159.0</v>
      </c>
      <c r="H3" s="4" t="b">
        <v>1</v>
      </c>
      <c r="I3" s="1">
        <v>26.0</v>
      </c>
      <c r="J3" s="4" t="b">
        <v>1</v>
      </c>
      <c r="K3" s="1">
        <v>62.0</v>
      </c>
      <c r="L3" s="4" t="b">
        <v>1</v>
      </c>
      <c r="M3" s="1">
        <v>22.0</v>
      </c>
      <c r="N3" s="4" t="b">
        <v>1</v>
      </c>
      <c r="O3" s="1">
        <v>1644.0</v>
      </c>
      <c r="P3" s="4" t="b">
        <v>1</v>
      </c>
      <c r="Q3" s="1">
        <v>60.0</v>
      </c>
      <c r="R3" s="4" t="b">
        <v>1</v>
      </c>
    </row>
    <row r="4">
      <c r="B4" s="1">
        <v>6.0</v>
      </c>
      <c r="C4" s="1" t="b">
        <v>1</v>
      </c>
      <c r="D4" s="1" t="s">
        <v>17</v>
      </c>
      <c r="F4" s="4">
        <v>3.0</v>
      </c>
      <c r="G4" s="1">
        <v>164.0</v>
      </c>
      <c r="H4" s="4" t="b">
        <v>1</v>
      </c>
      <c r="I4" s="1">
        <v>16.0</v>
      </c>
      <c r="J4" s="4" t="b">
        <v>1</v>
      </c>
      <c r="K4" s="1">
        <v>52.0</v>
      </c>
      <c r="L4" s="4" t="b">
        <v>1</v>
      </c>
      <c r="M4" s="1">
        <v>15.0</v>
      </c>
      <c r="N4" s="4" t="b">
        <v>1</v>
      </c>
      <c r="O4" s="1">
        <v>1654.0</v>
      </c>
      <c r="P4" s="4" t="b">
        <v>1</v>
      </c>
      <c r="Q4" s="1">
        <v>49.0</v>
      </c>
      <c r="R4" s="4" t="b">
        <v>1</v>
      </c>
    </row>
    <row r="5">
      <c r="B5" s="1">
        <v>9.0</v>
      </c>
      <c r="C5" s="1" t="b">
        <v>1</v>
      </c>
      <c r="D5" s="1" t="s">
        <v>18</v>
      </c>
      <c r="F5" s="4">
        <v>4.0</v>
      </c>
      <c r="G5" s="1">
        <v>162.0</v>
      </c>
      <c r="H5" s="4" t="b">
        <v>1</v>
      </c>
      <c r="I5" s="1">
        <v>15.0</v>
      </c>
      <c r="J5" s="4" t="b">
        <v>1</v>
      </c>
      <c r="K5" s="1">
        <v>53.0</v>
      </c>
      <c r="L5" s="4" t="b">
        <v>1</v>
      </c>
      <c r="M5" s="1">
        <v>11.0</v>
      </c>
      <c r="N5" s="4" t="b">
        <v>1</v>
      </c>
      <c r="O5" s="1">
        <v>1646.0</v>
      </c>
      <c r="P5" s="4" t="b">
        <v>1</v>
      </c>
      <c r="Q5" s="1">
        <v>46.0</v>
      </c>
      <c r="R5" s="4" t="b">
        <v>1</v>
      </c>
    </row>
    <row r="6">
      <c r="B6" s="1">
        <v>16.0</v>
      </c>
      <c r="C6" s="1" t="b">
        <v>1</v>
      </c>
      <c r="D6" s="1" t="s">
        <v>19</v>
      </c>
      <c r="F6" s="4">
        <v>5.0</v>
      </c>
      <c r="G6" s="1">
        <v>160.0</v>
      </c>
      <c r="H6" s="4" t="b">
        <v>1</v>
      </c>
      <c r="I6" s="1">
        <v>7.0</v>
      </c>
      <c r="J6" s="4" t="b">
        <v>1</v>
      </c>
      <c r="K6" s="1">
        <v>50.0</v>
      </c>
      <c r="L6" s="4" t="b">
        <v>1</v>
      </c>
      <c r="M6" s="1">
        <v>6.0</v>
      </c>
      <c r="N6" s="4" t="b">
        <v>1</v>
      </c>
      <c r="O6" s="1">
        <v>1648.0</v>
      </c>
      <c r="P6" s="4" t="b">
        <v>1</v>
      </c>
      <c r="Q6" s="1">
        <v>48.0</v>
      </c>
      <c r="R6" s="4" t="b">
        <v>1</v>
      </c>
    </row>
    <row r="7">
      <c r="B7" s="1">
        <v>22.0</v>
      </c>
      <c r="C7" s="1" t="b">
        <v>1</v>
      </c>
      <c r="D7" s="1" t="s">
        <v>20</v>
      </c>
      <c r="F7" s="4">
        <v>6.0</v>
      </c>
      <c r="G7" s="1">
        <v>171.0</v>
      </c>
      <c r="H7" s="4" t="b">
        <v>1</v>
      </c>
      <c r="I7" s="1">
        <v>9.0</v>
      </c>
      <c r="J7" s="4" t="b">
        <v>1</v>
      </c>
      <c r="K7" s="1">
        <v>48.0</v>
      </c>
      <c r="L7" s="4" t="b">
        <v>1</v>
      </c>
      <c r="M7" s="1">
        <v>8.0</v>
      </c>
      <c r="N7" s="4" t="b">
        <v>1</v>
      </c>
      <c r="O7" s="1">
        <v>1649.0</v>
      </c>
      <c r="P7" s="4" t="b">
        <v>1</v>
      </c>
      <c r="Q7" s="1">
        <v>47.0</v>
      </c>
      <c r="R7" s="4" t="b">
        <v>1</v>
      </c>
    </row>
    <row r="8">
      <c r="B8" s="1">
        <v>27.0</v>
      </c>
      <c r="C8" s="1" t="b">
        <v>1</v>
      </c>
      <c r="D8" s="1" t="s">
        <v>21</v>
      </c>
      <c r="F8" s="4">
        <v>7.0</v>
      </c>
      <c r="G8" s="1">
        <v>172.0</v>
      </c>
      <c r="H8" s="4" t="b">
        <v>1</v>
      </c>
      <c r="I8" s="1">
        <v>15.0</v>
      </c>
      <c r="J8" s="4" t="b">
        <v>1</v>
      </c>
      <c r="K8" s="1">
        <v>50.0</v>
      </c>
      <c r="L8" s="4" t="b">
        <v>1</v>
      </c>
      <c r="M8" s="1">
        <v>12.0</v>
      </c>
      <c r="N8" s="4" t="b">
        <v>1</v>
      </c>
      <c r="O8" s="1">
        <v>1644.0</v>
      </c>
      <c r="P8" s="4" t="b">
        <v>1</v>
      </c>
      <c r="Q8" s="1">
        <v>50.0</v>
      </c>
      <c r="R8" s="4" t="b">
        <v>1</v>
      </c>
    </row>
    <row r="9">
      <c r="B9" s="1">
        <v>31.0</v>
      </c>
      <c r="C9" s="1" t="b">
        <v>1</v>
      </c>
      <c r="D9" s="1" t="s">
        <v>22</v>
      </c>
      <c r="F9" s="4">
        <v>8.0</v>
      </c>
      <c r="G9" s="1">
        <v>155.0</v>
      </c>
      <c r="H9" s="4" t="b">
        <v>1</v>
      </c>
      <c r="I9" s="1">
        <v>7.0</v>
      </c>
      <c r="J9" s="4" t="b">
        <v>1</v>
      </c>
      <c r="K9" s="1">
        <v>48.0</v>
      </c>
      <c r="L9" s="4" t="b">
        <v>1</v>
      </c>
      <c r="M9" s="1">
        <v>5.0</v>
      </c>
      <c r="N9" s="4" t="b">
        <v>1</v>
      </c>
      <c r="O9" s="1">
        <v>1650.0</v>
      </c>
      <c r="P9" s="4" t="b">
        <v>1</v>
      </c>
      <c r="Q9" s="1">
        <v>46.0</v>
      </c>
      <c r="R9" s="4" t="b">
        <v>1</v>
      </c>
    </row>
    <row r="10">
      <c r="B10" s="1">
        <v>32.0</v>
      </c>
      <c r="C10" s="1" t="b">
        <v>1</v>
      </c>
      <c r="D10" s="1" t="s">
        <v>23</v>
      </c>
      <c r="F10" s="4">
        <v>9.0</v>
      </c>
      <c r="G10" s="1">
        <v>173.0</v>
      </c>
      <c r="H10" s="4" t="b">
        <v>1</v>
      </c>
      <c r="I10" s="1">
        <v>16.0</v>
      </c>
      <c r="J10" s="4" t="b">
        <v>1</v>
      </c>
      <c r="K10" s="1">
        <v>65.0</v>
      </c>
      <c r="L10" s="4" t="b">
        <v>1</v>
      </c>
      <c r="M10" s="1">
        <v>11.0</v>
      </c>
      <c r="N10" s="4" t="b">
        <v>1</v>
      </c>
      <c r="O10" s="1">
        <v>1647.0</v>
      </c>
      <c r="P10" s="4" t="b">
        <v>1</v>
      </c>
      <c r="Q10" s="1">
        <v>51.0</v>
      </c>
      <c r="R10" s="4" t="b">
        <v>1</v>
      </c>
    </row>
    <row r="11">
      <c r="B11" s="1">
        <v>35.0</v>
      </c>
      <c r="C11" s="1" t="b">
        <v>1</v>
      </c>
      <c r="D11" s="1" t="s">
        <v>24</v>
      </c>
      <c r="F11" s="4">
        <v>10.0</v>
      </c>
      <c r="G11" s="1">
        <v>160.0</v>
      </c>
      <c r="H11" s="4" t="b">
        <v>1</v>
      </c>
      <c r="I11" s="1">
        <v>9.0</v>
      </c>
      <c r="J11" s="4" t="b">
        <v>1</v>
      </c>
      <c r="K11" s="1">
        <v>46.0</v>
      </c>
      <c r="L11" s="4" t="b">
        <v>1</v>
      </c>
      <c r="M11" s="1">
        <v>7.0</v>
      </c>
      <c r="N11" s="4" t="b">
        <v>1</v>
      </c>
      <c r="O11" s="1">
        <v>1648.0</v>
      </c>
      <c r="P11" s="4" t="b">
        <v>1</v>
      </c>
      <c r="Q11" s="1">
        <v>47.0</v>
      </c>
      <c r="R11" s="4" t="b">
        <v>1</v>
      </c>
    </row>
    <row r="12">
      <c r="B12" s="1">
        <v>37.0</v>
      </c>
      <c r="C12" s="1" t="b">
        <v>1</v>
      </c>
      <c r="D12" s="1" t="s">
        <v>25</v>
      </c>
      <c r="F12" s="4">
        <v>11.0</v>
      </c>
      <c r="G12" s="1">
        <v>189.0</v>
      </c>
      <c r="H12" s="4" t="b">
        <v>1</v>
      </c>
      <c r="I12" s="1">
        <v>9.0</v>
      </c>
      <c r="J12" s="4" t="b">
        <v>1</v>
      </c>
      <c r="K12" s="1">
        <v>49.0</v>
      </c>
      <c r="L12" s="4" t="b">
        <v>1</v>
      </c>
      <c r="M12" s="1">
        <v>4.0</v>
      </c>
      <c r="N12" s="4" t="b">
        <v>1</v>
      </c>
      <c r="O12" s="1">
        <v>1649.0</v>
      </c>
      <c r="P12" s="4" t="b">
        <v>1</v>
      </c>
      <c r="Q12" s="1">
        <v>46.0</v>
      </c>
      <c r="R12" s="4" t="b">
        <v>1</v>
      </c>
    </row>
    <row r="13">
      <c r="B13" s="1">
        <v>43.0</v>
      </c>
      <c r="C13" s="1" t="b">
        <v>1</v>
      </c>
      <c r="D13" s="1" t="s">
        <v>26</v>
      </c>
      <c r="F13" s="4">
        <v>12.0</v>
      </c>
      <c r="G13" s="1">
        <v>160.0</v>
      </c>
      <c r="H13" s="4" t="b">
        <v>1</v>
      </c>
      <c r="I13" s="1">
        <v>13.0</v>
      </c>
      <c r="J13" s="4" t="b">
        <v>1</v>
      </c>
      <c r="K13" s="1">
        <v>52.0</v>
      </c>
      <c r="L13" s="4" t="b">
        <v>1</v>
      </c>
      <c r="M13" s="1">
        <v>10.0</v>
      </c>
      <c r="N13" s="4" t="b">
        <v>1</v>
      </c>
      <c r="O13" s="1">
        <v>1639.0</v>
      </c>
      <c r="P13" s="4" t="b">
        <v>1</v>
      </c>
      <c r="Q13" s="1">
        <v>47.0</v>
      </c>
      <c r="R13" s="4" t="b">
        <v>1</v>
      </c>
    </row>
    <row r="14">
      <c r="B14" s="1">
        <v>57.0</v>
      </c>
      <c r="C14" s="1" t="b">
        <v>1</v>
      </c>
      <c r="D14" s="1" t="s">
        <v>27</v>
      </c>
      <c r="F14" s="4">
        <v>13.0</v>
      </c>
      <c r="G14" s="1">
        <v>169.0</v>
      </c>
      <c r="H14" s="4" t="b">
        <v>1</v>
      </c>
      <c r="I14" s="1">
        <v>16.0</v>
      </c>
      <c r="J14" s="4" t="b">
        <v>1</v>
      </c>
      <c r="K14" s="1">
        <v>52.0</v>
      </c>
      <c r="L14" s="4" t="b">
        <v>1</v>
      </c>
      <c r="M14" s="1">
        <v>8.0</v>
      </c>
      <c r="N14" s="4" t="b">
        <v>1</v>
      </c>
      <c r="O14" s="1">
        <v>1648.0</v>
      </c>
      <c r="P14" s="4" t="b">
        <v>1</v>
      </c>
      <c r="Q14" s="1">
        <v>48.0</v>
      </c>
      <c r="R14" s="4" t="b">
        <v>1</v>
      </c>
    </row>
    <row r="15">
      <c r="B15" s="1">
        <v>60.0</v>
      </c>
      <c r="C15" s="1" t="b">
        <v>1</v>
      </c>
      <c r="D15" s="1" t="s">
        <v>28</v>
      </c>
      <c r="F15" s="4">
        <v>14.0</v>
      </c>
      <c r="G15" s="1">
        <v>180.0</v>
      </c>
      <c r="H15" s="4" t="b">
        <v>1</v>
      </c>
      <c r="I15" s="1">
        <v>30.0</v>
      </c>
      <c r="J15" s="4" t="b">
        <v>1</v>
      </c>
      <c r="K15" s="1">
        <v>57.0</v>
      </c>
      <c r="L15" s="4" t="b">
        <v>1</v>
      </c>
      <c r="M15" s="1">
        <v>17.0</v>
      </c>
      <c r="N15" s="4" t="b">
        <v>1</v>
      </c>
      <c r="O15" s="1">
        <v>1655.0</v>
      </c>
      <c r="P15" s="4" t="b">
        <v>1</v>
      </c>
      <c r="Q15" s="1">
        <v>55.0</v>
      </c>
      <c r="R15" s="4" t="b">
        <v>1</v>
      </c>
    </row>
    <row r="16">
      <c r="B16" s="1">
        <v>61.0</v>
      </c>
      <c r="C16" s="1" t="b">
        <v>1</v>
      </c>
      <c r="D16" s="1" t="s">
        <v>29</v>
      </c>
      <c r="F16" s="4">
        <v>15.0</v>
      </c>
      <c r="G16" s="1">
        <v>165.0</v>
      </c>
      <c r="H16" s="4" t="b">
        <v>1</v>
      </c>
      <c r="I16" s="1">
        <v>8.0</v>
      </c>
      <c r="J16" s="4" t="b">
        <v>1</v>
      </c>
      <c r="K16" s="1">
        <v>44.0</v>
      </c>
      <c r="L16" s="4" t="b">
        <v>1</v>
      </c>
      <c r="M16" s="1">
        <v>7.0</v>
      </c>
      <c r="N16" s="4" t="b">
        <v>1</v>
      </c>
      <c r="O16" s="1">
        <v>1643.0</v>
      </c>
      <c r="P16" s="4" t="b">
        <v>1</v>
      </c>
      <c r="Q16" s="1">
        <v>46.0</v>
      </c>
      <c r="R16" s="4" t="b">
        <v>1</v>
      </c>
    </row>
    <row r="17">
      <c r="B17" s="1">
        <v>62.0</v>
      </c>
      <c r="C17" s="1" t="b">
        <v>1</v>
      </c>
      <c r="D17" s="1" t="s">
        <v>31</v>
      </c>
      <c r="F17" s="4">
        <v>16.0</v>
      </c>
      <c r="G17" s="1">
        <v>169.0</v>
      </c>
      <c r="H17" s="4" t="b">
        <v>1</v>
      </c>
      <c r="I17" s="1">
        <v>11.0</v>
      </c>
      <c r="J17" s="4" t="b">
        <v>1</v>
      </c>
      <c r="K17" s="1">
        <v>48.0</v>
      </c>
      <c r="L17" s="4" t="b">
        <v>1</v>
      </c>
      <c r="M17" s="1">
        <v>5.0</v>
      </c>
      <c r="N17" s="4" t="b">
        <v>1</v>
      </c>
      <c r="O17" s="1">
        <v>1643.0</v>
      </c>
      <c r="P17" s="4" t="b">
        <v>1</v>
      </c>
      <c r="Q17" s="1">
        <v>46.0</v>
      </c>
      <c r="R17" s="4" t="b">
        <v>1</v>
      </c>
    </row>
    <row r="18">
      <c r="B18" s="1">
        <v>64.0</v>
      </c>
      <c r="C18" s="1" t="b">
        <v>1</v>
      </c>
      <c r="D18" s="1" t="s">
        <v>38</v>
      </c>
      <c r="F18" s="4">
        <v>17.0</v>
      </c>
      <c r="G18" s="1">
        <v>164.0</v>
      </c>
      <c r="H18" s="4" t="b">
        <v>1</v>
      </c>
      <c r="I18" s="1">
        <v>8.0</v>
      </c>
      <c r="J18" s="4" t="b">
        <v>1</v>
      </c>
      <c r="K18" s="1">
        <v>54.0</v>
      </c>
      <c r="L18" s="4" t="b">
        <v>1</v>
      </c>
      <c r="M18" s="1">
        <v>7.0</v>
      </c>
      <c r="N18" s="4" t="b">
        <v>1</v>
      </c>
      <c r="O18" s="1">
        <v>1642.0</v>
      </c>
      <c r="P18" s="4" t="b">
        <v>1</v>
      </c>
      <c r="Q18" s="1">
        <v>48.0</v>
      </c>
      <c r="R18" s="4" t="b">
        <v>1</v>
      </c>
    </row>
    <row r="19">
      <c r="B19" s="1">
        <v>71.0</v>
      </c>
      <c r="C19" s="1" t="b">
        <v>1</v>
      </c>
      <c r="D19" s="1" t="s">
        <v>39</v>
      </c>
      <c r="F19" s="4">
        <v>18.0</v>
      </c>
      <c r="G19" s="1">
        <v>175.0</v>
      </c>
      <c r="H19" s="4" t="b">
        <v>1</v>
      </c>
      <c r="I19" s="1">
        <v>25.0</v>
      </c>
      <c r="J19" s="4" t="b">
        <v>1</v>
      </c>
      <c r="K19" s="1">
        <v>50.0</v>
      </c>
      <c r="L19" s="4" t="b">
        <v>1</v>
      </c>
      <c r="M19" s="1">
        <v>16.0</v>
      </c>
      <c r="N19" s="4" t="b">
        <v>1</v>
      </c>
      <c r="O19" s="1">
        <v>1653.0</v>
      </c>
      <c r="P19" s="4" t="b">
        <v>1</v>
      </c>
      <c r="Q19" s="1">
        <v>53.0</v>
      </c>
      <c r="R19" s="4" t="b">
        <v>1</v>
      </c>
    </row>
    <row r="20">
      <c r="B20" s="1">
        <v>74.0</v>
      </c>
      <c r="C20" s="1" t="b">
        <v>1</v>
      </c>
      <c r="D20" s="1" t="s">
        <v>42</v>
      </c>
      <c r="F20" s="4">
        <v>19.0</v>
      </c>
      <c r="G20" s="1">
        <v>166.0</v>
      </c>
      <c r="H20" s="4" t="b">
        <v>1</v>
      </c>
      <c r="I20" s="1">
        <v>17.0</v>
      </c>
      <c r="J20" s="4" t="b">
        <v>1</v>
      </c>
      <c r="K20" s="1">
        <v>48.0</v>
      </c>
      <c r="L20" s="4" t="b">
        <v>1</v>
      </c>
      <c r="M20" s="1">
        <v>13.0</v>
      </c>
      <c r="N20" s="4" t="b">
        <v>1</v>
      </c>
      <c r="O20" s="1">
        <v>1648.0</v>
      </c>
      <c r="P20" s="4" t="b">
        <v>1</v>
      </c>
      <c r="Q20" s="1">
        <v>50.0</v>
      </c>
      <c r="R20" s="4" t="b">
        <v>1</v>
      </c>
    </row>
    <row r="21">
      <c r="B21" s="1">
        <v>75.0</v>
      </c>
      <c r="C21" s="1" t="b">
        <v>1</v>
      </c>
      <c r="D21" s="1" t="s">
        <v>43</v>
      </c>
      <c r="F21" s="4">
        <v>20.0</v>
      </c>
      <c r="G21" s="1">
        <v>161.0</v>
      </c>
      <c r="H21" s="4" t="b">
        <v>1</v>
      </c>
      <c r="I21" s="1">
        <v>7.0</v>
      </c>
      <c r="J21" s="4" t="b">
        <v>1</v>
      </c>
      <c r="K21" s="1">
        <v>56.0</v>
      </c>
      <c r="L21" s="4" t="b">
        <v>1</v>
      </c>
      <c r="M21" s="1">
        <v>5.0</v>
      </c>
      <c r="N21" s="4" t="b">
        <v>1</v>
      </c>
      <c r="O21" s="1">
        <v>1647.0</v>
      </c>
      <c r="P21" s="4" t="b">
        <v>1</v>
      </c>
      <c r="Q21" s="1">
        <v>46.0</v>
      </c>
      <c r="R21" s="4" t="b">
        <v>1</v>
      </c>
    </row>
    <row r="22">
      <c r="B22" s="1">
        <v>79.0</v>
      </c>
      <c r="C22" s="1" t="b">
        <v>1</v>
      </c>
      <c r="D22" s="1" t="s">
        <v>45</v>
      </c>
      <c r="F22" s="4">
        <v>21.0</v>
      </c>
      <c r="G22" s="1">
        <v>155.0</v>
      </c>
      <c r="H22" s="4" t="b">
        <v>1</v>
      </c>
      <c r="I22" s="1">
        <v>14.0</v>
      </c>
      <c r="J22" s="4" t="b">
        <v>1</v>
      </c>
      <c r="K22" s="1">
        <v>51.0</v>
      </c>
      <c r="L22" s="4" t="b">
        <v>1</v>
      </c>
      <c r="M22" s="1">
        <v>11.0</v>
      </c>
      <c r="N22" s="4" t="b">
        <v>1</v>
      </c>
      <c r="O22" s="1">
        <v>1646.0</v>
      </c>
      <c r="P22" s="4" t="b">
        <v>1</v>
      </c>
      <c r="Q22" s="1">
        <v>48.0</v>
      </c>
      <c r="R22" s="4" t="b">
        <v>1</v>
      </c>
    </row>
    <row r="23">
      <c r="B23" s="1">
        <v>81.0</v>
      </c>
      <c r="C23" s="1" t="b">
        <v>1</v>
      </c>
      <c r="D23" s="1" t="s">
        <v>47</v>
      </c>
      <c r="F23" s="4">
        <v>22.0</v>
      </c>
      <c r="G23" s="1">
        <v>185.0</v>
      </c>
      <c r="H23" s="4" t="b">
        <v>1</v>
      </c>
      <c r="I23" s="1">
        <v>7.0</v>
      </c>
      <c r="J23" s="4" t="b">
        <v>1</v>
      </c>
      <c r="K23" s="1">
        <v>61.0</v>
      </c>
      <c r="L23" s="4" t="b">
        <v>1</v>
      </c>
      <c r="M23" s="1">
        <v>4.0</v>
      </c>
      <c r="N23" s="4" t="b">
        <v>1</v>
      </c>
      <c r="O23" s="1">
        <v>1643.0</v>
      </c>
      <c r="P23" s="4" t="b">
        <v>1</v>
      </c>
      <c r="Q23" s="1">
        <v>46.0</v>
      </c>
      <c r="R23" s="4" t="b">
        <v>1</v>
      </c>
    </row>
    <row r="24">
      <c r="B24" s="1">
        <v>82.0</v>
      </c>
      <c r="C24" s="1" t="b">
        <v>1</v>
      </c>
      <c r="D24" s="1" t="s">
        <v>48</v>
      </c>
      <c r="F24" s="4">
        <v>23.0</v>
      </c>
      <c r="G24" s="1">
        <v>165.0</v>
      </c>
      <c r="H24" s="4" t="b">
        <v>1</v>
      </c>
      <c r="I24" s="1">
        <v>9.0</v>
      </c>
      <c r="J24" s="4" t="b">
        <v>1</v>
      </c>
      <c r="K24" s="1">
        <v>46.0</v>
      </c>
      <c r="L24" s="4" t="b">
        <v>1</v>
      </c>
      <c r="M24" s="1">
        <v>4.0</v>
      </c>
      <c r="N24" s="4" t="b">
        <v>1</v>
      </c>
      <c r="O24" s="1">
        <v>1646.0</v>
      </c>
      <c r="P24" s="4" t="b">
        <v>1</v>
      </c>
      <c r="Q24" s="1">
        <v>46.0</v>
      </c>
      <c r="R24" s="4" t="b">
        <v>1</v>
      </c>
    </row>
    <row r="25">
      <c r="B25" s="1">
        <v>89.0</v>
      </c>
      <c r="C25" s="1" t="b">
        <v>1</v>
      </c>
      <c r="D25" s="1" t="s">
        <v>49</v>
      </c>
      <c r="F25" s="4">
        <v>24.0</v>
      </c>
      <c r="G25" s="1">
        <v>175.0</v>
      </c>
      <c r="H25" s="4" t="b">
        <v>1</v>
      </c>
      <c r="I25" s="1">
        <v>13.0</v>
      </c>
      <c r="J25" s="4" t="b">
        <v>1</v>
      </c>
      <c r="K25" s="1">
        <v>50.0</v>
      </c>
      <c r="L25" s="4" t="b">
        <v>1</v>
      </c>
      <c r="M25" s="1">
        <v>6.0</v>
      </c>
      <c r="N25" s="4" t="b">
        <v>1</v>
      </c>
      <c r="O25" s="1">
        <v>1682.0</v>
      </c>
      <c r="P25" s="4" t="b">
        <v>1</v>
      </c>
      <c r="Q25" s="1">
        <v>54.0</v>
      </c>
      <c r="R25" s="4" t="b">
        <v>1</v>
      </c>
    </row>
    <row r="26">
      <c r="B26" s="1">
        <v>93.0</v>
      </c>
      <c r="C26" s="1" t="b">
        <v>1</v>
      </c>
      <c r="D26" s="1" t="s">
        <v>51</v>
      </c>
      <c r="F26" s="4">
        <v>25.0</v>
      </c>
      <c r="G26" s="1">
        <v>170.0</v>
      </c>
      <c r="H26" s="4" t="b">
        <v>1</v>
      </c>
      <c r="I26" s="1">
        <v>17.0</v>
      </c>
      <c r="J26" s="4" t="b">
        <v>1</v>
      </c>
      <c r="K26" s="1">
        <v>48.0</v>
      </c>
      <c r="L26" s="4" t="b">
        <v>1</v>
      </c>
      <c r="M26" s="1">
        <v>14.0</v>
      </c>
      <c r="N26" s="4" t="b">
        <v>1</v>
      </c>
      <c r="O26" s="1">
        <v>1649.0</v>
      </c>
      <c r="P26" s="4" t="b">
        <v>1</v>
      </c>
      <c r="Q26" s="1">
        <v>52.0</v>
      </c>
      <c r="R26" s="4" t="b">
        <v>1</v>
      </c>
    </row>
    <row r="27">
      <c r="B27" s="1">
        <v>96.0</v>
      </c>
      <c r="C27" s="1" t="b">
        <v>1</v>
      </c>
      <c r="D27" s="1" t="s">
        <v>52</v>
      </c>
      <c r="F27" s="4">
        <v>26.0</v>
      </c>
      <c r="G27" s="1">
        <v>155.0</v>
      </c>
      <c r="H27" s="4" t="b">
        <v>1</v>
      </c>
      <c r="I27" s="1">
        <v>8.0</v>
      </c>
      <c r="J27" s="4" t="b">
        <v>1</v>
      </c>
      <c r="K27" s="1">
        <v>54.0</v>
      </c>
      <c r="L27" s="4" t="b">
        <v>1</v>
      </c>
      <c r="M27" s="1">
        <v>5.0</v>
      </c>
      <c r="N27" s="4" t="b">
        <v>1</v>
      </c>
      <c r="O27" s="1">
        <v>1643.0</v>
      </c>
      <c r="P27" s="4" t="b">
        <v>1</v>
      </c>
      <c r="Q27" s="1">
        <v>49.0</v>
      </c>
      <c r="R27" s="4" t="b">
        <v>1</v>
      </c>
    </row>
    <row r="28">
      <c r="B28" s="1">
        <v>100.0</v>
      </c>
      <c r="C28" s="1" t="b">
        <v>1</v>
      </c>
      <c r="D28" s="1" t="s">
        <v>53</v>
      </c>
      <c r="F28" s="4">
        <v>27.0</v>
      </c>
      <c r="G28" s="1">
        <v>172.0</v>
      </c>
      <c r="H28" s="4" t="b">
        <v>1</v>
      </c>
      <c r="I28" s="1">
        <v>15.0</v>
      </c>
      <c r="J28" s="4" t="b">
        <v>1</v>
      </c>
      <c r="K28" s="1">
        <v>49.0</v>
      </c>
      <c r="L28" s="4" t="b">
        <v>1</v>
      </c>
      <c r="M28" s="1">
        <v>12.0</v>
      </c>
      <c r="N28" s="4" t="b">
        <v>1</v>
      </c>
      <c r="O28" s="1">
        <v>1644.0</v>
      </c>
      <c r="P28" s="4" t="b">
        <v>1</v>
      </c>
      <c r="Q28" s="1">
        <v>50.0</v>
      </c>
      <c r="R28" s="4" t="b">
        <v>1</v>
      </c>
    </row>
    <row r="29">
      <c r="B29" s="1">
        <v>111.0</v>
      </c>
      <c r="C29" s="1" t="b">
        <v>1</v>
      </c>
      <c r="D29" s="1" t="s">
        <v>54</v>
      </c>
      <c r="F29" s="4">
        <v>28.0</v>
      </c>
      <c r="G29" s="1">
        <v>175.0</v>
      </c>
      <c r="H29" s="4" t="b">
        <v>1</v>
      </c>
      <c r="I29" s="1">
        <v>15.0</v>
      </c>
      <c r="J29" s="4" t="b">
        <v>1</v>
      </c>
      <c r="K29" s="1">
        <v>47.0</v>
      </c>
      <c r="L29" s="4" t="b">
        <v>1</v>
      </c>
      <c r="M29" s="1">
        <v>7.0</v>
      </c>
      <c r="N29" s="4" t="b">
        <v>1</v>
      </c>
      <c r="O29" s="1">
        <v>1649.0</v>
      </c>
      <c r="P29" s="4" t="b">
        <v>1</v>
      </c>
      <c r="Q29" s="1">
        <v>48.0</v>
      </c>
      <c r="R29" s="4" t="b">
        <v>1</v>
      </c>
    </row>
    <row r="30">
      <c r="B30" s="1">
        <v>112.0</v>
      </c>
      <c r="C30" s="1" t="b">
        <v>1</v>
      </c>
      <c r="D30" s="1" t="s">
        <v>56</v>
      </c>
      <c r="F30" s="4">
        <v>29.0</v>
      </c>
      <c r="G30" s="1">
        <v>177.0</v>
      </c>
      <c r="H30" s="4" t="b">
        <v>1</v>
      </c>
      <c r="I30" s="1">
        <v>36.0</v>
      </c>
      <c r="J30" s="4" t="b">
        <v>1</v>
      </c>
      <c r="K30" s="1">
        <v>51.0</v>
      </c>
      <c r="L30" s="4" t="b">
        <v>1</v>
      </c>
      <c r="M30" s="1">
        <v>25.0</v>
      </c>
      <c r="N30" s="4" t="b">
        <v>1</v>
      </c>
      <c r="O30" s="1">
        <v>1650.0</v>
      </c>
      <c r="P30" s="4" t="b">
        <v>1</v>
      </c>
      <c r="Q30" s="1">
        <v>66.0</v>
      </c>
      <c r="R30" s="4" t="b">
        <v>1</v>
      </c>
    </row>
    <row r="31">
      <c r="B31" s="1">
        <v>115.0</v>
      </c>
      <c r="C31" s="1" t="b">
        <v>1</v>
      </c>
      <c r="D31" s="1" t="s">
        <v>57</v>
      </c>
      <c r="F31" s="4">
        <v>30.0</v>
      </c>
      <c r="G31" s="1">
        <v>173.0</v>
      </c>
      <c r="H31" s="4" t="b">
        <v>1</v>
      </c>
      <c r="I31" s="1">
        <v>7.0</v>
      </c>
      <c r="J31" s="4" t="b">
        <v>1</v>
      </c>
      <c r="K31" s="1">
        <v>52.0</v>
      </c>
      <c r="L31" s="4" t="b">
        <v>1</v>
      </c>
      <c r="M31" s="1">
        <v>4.0</v>
      </c>
      <c r="N31" s="4" t="b">
        <v>1</v>
      </c>
      <c r="O31" s="1">
        <v>1646.0</v>
      </c>
      <c r="P31" s="4" t="b">
        <v>1</v>
      </c>
      <c r="Q31" s="1">
        <v>45.0</v>
      </c>
      <c r="R31" s="4" t="b">
        <v>1</v>
      </c>
    </row>
    <row r="32">
      <c r="B32" s="1">
        <v>117.0</v>
      </c>
      <c r="C32" s="1" t="b">
        <v>1</v>
      </c>
      <c r="D32" s="1" t="s">
        <v>58</v>
      </c>
      <c r="F32" s="4">
        <v>31.0</v>
      </c>
      <c r="G32" s="1">
        <v>182.0</v>
      </c>
      <c r="H32" s="4" t="b">
        <v>1</v>
      </c>
      <c r="I32" s="1">
        <v>12.0</v>
      </c>
      <c r="J32" s="4" t="b">
        <v>1</v>
      </c>
      <c r="K32" s="1">
        <v>51.0</v>
      </c>
      <c r="L32" s="4" t="b">
        <v>1</v>
      </c>
      <c r="M32" s="1">
        <v>7.0</v>
      </c>
      <c r="N32" s="4" t="b">
        <v>1</v>
      </c>
      <c r="O32" s="1">
        <v>1643.0</v>
      </c>
      <c r="P32" s="4" t="b">
        <v>1</v>
      </c>
      <c r="Q32" s="1">
        <v>47.0</v>
      </c>
      <c r="R32" s="4" t="b">
        <v>1</v>
      </c>
    </row>
    <row r="33">
      <c r="B33" s="1">
        <v>118.0</v>
      </c>
      <c r="C33" s="1" t="b">
        <v>1</v>
      </c>
      <c r="D33" s="1" t="s">
        <v>59</v>
      </c>
      <c r="F33" s="4">
        <v>32.0</v>
      </c>
      <c r="G33" s="1">
        <v>176.0</v>
      </c>
      <c r="H33" s="4" t="b">
        <v>1</v>
      </c>
      <c r="I33" s="1">
        <v>32.0</v>
      </c>
      <c r="J33" s="4" t="b">
        <v>1</v>
      </c>
      <c r="K33" s="1">
        <v>54.0</v>
      </c>
      <c r="L33" s="4" t="b">
        <v>1</v>
      </c>
      <c r="M33" s="1">
        <v>15.0</v>
      </c>
      <c r="N33" s="4" t="b">
        <v>1</v>
      </c>
      <c r="O33" s="1">
        <v>1652.0</v>
      </c>
      <c r="P33" s="4" t="b">
        <v>1</v>
      </c>
      <c r="Q33" s="1">
        <v>57.0</v>
      </c>
      <c r="R33" s="4" t="b">
        <v>1</v>
      </c>
    </row>
    <row r="34">
      <c r="B34" s="1">
        <v>119.0</v>
      </c>
      <c r="C34" s="1" t="b">
        <v>1</v>
      </c>
      <c r="D34" s="1" t="s">
        <v>60</v>
      </c>
      <c r="F34" s="4">
        <v>33.0</v>
      </c>
      <c r="G34" s="1">
        <v>165.0</v>
      </c>
      <c r="H34" s="4" t="b">
        <v>1</v>
      </c>
      <c r="I34" s="1">
        <v>22.0</v>
      </c>
      <c r="J34" s="4" t="b">
        <v>1</v>
      </c>
      <c r="K34" s="1">
        <v>49.0</v>
      </c>
      <c r="L34" s="4" t="b">
        <v>1</v>
      </c>
      <c r="M34" s="1">
        <v>12.0</v>
      </c>
      <c r="N34" s="4" t="b">
        <v>1</v>
      </c>
      <c r="O34" s="1">
        <v>1649.0</v>
      </c>
      <c r="P34" s="4" t="b">
        <v>1</v>
      </c>
      <c r="Q34" s="1">
        <v>53.0</v>
      </c>
      <c r="R34" s="4" t="b">
        <v>1</v>
      </c>
    </row>
    <row r="35">
      <c r="B35" s="1">
        <v>122.0</v>
      </c>
      <c r="C35" s="1" t="b">
        <v>1</v>
      </c>
      <c r="D35" s="1" t="s">
        <v>61</v>
      </c>
      <c r="F35" s="4">
        <v>34.0</v>
      </c>
      <c r="G35" s="1">
        <v>164.0</v>
      </c>
      <c r="H35" s="4" t="b">
        <v>1</v>
      </c>
      <c r="I35" s="1">
        <v>16.0</v>
      </c>
      <c r="J35" s="4" t="b">
        <v>1</v>
      </c>
      <c r="K35" s="1">
        <v>52.0</v>
      </c>
      <c r="L35" s="4" t="b">
        <v>1</v>
      </c>
      <c r="M35" s="1">
        <v>13.0</v>
      </c>
      <c r="N35" s="4" t="b">
        <v>1</v>
      </c>
      <c r="O35" s="1">
        <v>1648.0</v>
      </c>
      <c r="P35" s="4" t="b">
        <v>1</v>
      </c>
      <c r="Q35" s="1">
        <v>50.0</v>
      </c>
      <c r="R35" s="4" t="b">
        <v>1</v>
      </c>
    </row>
    <row r="36">
      <c r="B36" s="1">
        <v>123.0</v>
      </c>
      <c r="C36" s="1" t="b">
        <v>1</v>
      </c>
      <c r="D36" s="1" t="s">
        <v>62</v>
      </c>
      <c r="F36" s="4">
        <v>35.0</v>
      </c>
      <c r="G36" s="1">
        <v>162.0</v>
      </c>
      <c r="H36" s="4" t="b">
        <v>1</v>
      </c>
      <c r="I36" s="1">
        <v>15.0</v>
      </c>
      <c r="J36" s="4" t="b">
        <v>1</v>
      </c>
      <c r="K36" s="1">
        <v>49.0</v>
      </c>
      <c r="L36" s="4" t="b">
        <v>1</v>
      </c>
      <c r="M36" s="1">
        <v>12.0</v>
      </c>
      <c r="N36" s="4" t="b">
        <v>1</v>
      </c>
      <c r="O36" s="1">
        <v>1649.0</v>
      </c>
      <c r="P36" s="4" t="b">
        <v>1</v>
      </c>
      <c r="Q36" s="1">
        <v>49.0</v>
      </c>
      <c r="R36" s="4" t="b">
        <v>1</v>
      </c>
    </row>
    <row r="37">
      <c r="B37" s="1">
        <v>131.0</v>
      </c>
      <c r="C37" s="1" t="b">
        <v>1</v>
      </c>
      <c r="D37" s="1" t="s">
        <v>63</v>
      </c>
      <c r="F37" s="4">
        <v>36.0</v>
      </c>
      <c r="G37" s="1">
        <v>201.0</v>
      </c>
      <c r="H37" s="4" t="b">
        <v>1</v>
      </c>
      <c r="I37" s="1">
        <v>17.0</v>
      </c>
      <c r="J37" s="4" t="b">
        <v>1</v>
      </c>
      <c r="K37" s="1">
        <v>56.0</v>
      </c>
      <c r="L37" s="4" t="b">
        <v>1</v>
      </c>
      <c r="M37" s="1">
        <v>15.0</v>
      </c>
      <c r="N37" s="4" t="b">
        <v>1</v>
      </c>
      <c r="O37" s="1">
        <v>1647.0</v>
      </c>
      <c r="P37" s="4" t="b">
        <v>1</v>
      </c>
      <c r="Q37" s="1">
        <v>55.0</v>
      </c>
      <c r="R37" s="4" t="b">
        <v>1</v>
      </c>
    </row>
    <row r="38">
      <c r="B38" s="1">
        <v>141.0</v>
      </c>
      <c r="C38" s="1" t="b">
        <v>1</v>
      </c>
      <c r="D38" s="1" t="s">
        <v>64</v>
      </c>
      <c r="F38" s="4">
        <v>37.0</v>
      </c>
      <c r="G38" s="1">
        <v>183.0</v>
      </c>
      <c r="H38" s="4" t="b">
        <v>1</v>
      </c>
      <c r="I38" s="1">
        <v>14.0</v>
      </c>
      <c r="J38" s="4" t="b">
        <v>1</v>
      </c>
      <c r="K38" s="1">
        <v>48.0</v>
      </c>
      <c r="L38" s="4" t="b">
        <v>1</v>
      </c>
      <c r="M38" s="1">
        <v>6.0</v>
      </c>
      <c r="N38" s="4" t="b">
        <v>1</v>
      </c>
      <c r="O38" s="1">
        <v>1644.0</v>
      </c>
      <c r="P38" s="4" t="b">
        <v>1</v>
      </c>
      <c r="Q38" s="1">
        <v>48.0</v>
      </c>
      <c r="R38" s="4" t="b">
        <v>1</v>
      </c>
    </row>
    <row r="39">
      <c r="B39" s="1">
        <v>146.0</v>
      </c>
      <c r="C39" s="1" t="b">
        <v>1</v>
      </c>
      <c r="D39" s="1" t="s">
        <v>65</v>
      </c>
      <c r="F39" s="4">
        <v>38.0</v>
      </c>
      <c r="G39" s="1">
        <v>174.0</v>
      </c>
      <c r="H39" s="4" t="b">
        <v>1</v>
      </c>
      <c r="I39" s="1">
        <v>11.0</v>
      </c>
      <c r="J39" s="4" t="b">
        <v>1</v>
      </c>
      <c r="K39" s="1">
        <v>47.0</v>
      </c>
      <c r="L39" s="4" t="b">
        <v>1</v>
      </c>
      <c r="M39" s="1">
        <v>6.0</v>
      </c>
      <c r="N39" s="4" t="b">
        <v>1</v>
      </c>
      <c r="O39" s="1">
        <v>1649.0</v>
      </c>
      <c r="P39" s="4" t="b">
        <v>1</v>
      </c>
      <c r="Q39" s="1">
        <v>46.0</v>
      </c>
      <c r="R39" s="4" t="b">
        <v>1</v>
      </c>
    </row>
    <row r="40">
      <c r="B40" s="1">
        <v>148.0</v>
      </c>
      <c r="C40" s="1" t="b">
        <v>1</v>
      </c>
      <c r="D40" s="1" t="s">
        <v>66</v>
      </c>
      <c r="F40" s="4">
        <v>39.0</v>
      </c>
      <c r="G40" s="1">
        <v>161.0</v>
      </c>
      <c r="H40" s="4" t="b">
        <v>1</v>
      </c>
      <c r="I40" s="1">
        <v>8.0</v>
      </c>
      <c r="J40" s="4" t="b">
        <v>1</v>
      </c>
      <c r="K40" s="1">
        <v>54.0</v>
      </c>
      <c r="L40" s="4" t="b">
        <v>1</v>
      </c>
      <c r="M40" s="1">
        <v>6.0</v>
      </c>
      <c r="N40" s="4" t="b">
        <v>1</v>
      </c>
      <c r="O40" s="1">
        <v>1648.0</v>
      </c>
      <c r="P40" s="4" t="b">
        <v>1</v>
      </c>
      <c r="Q40" s="1">
        <v>47.0</v>
      </c>
      <c r="R40" s="4" t="b">
        <v>1</v>
      </c>
    </row>
    <row r="41">
      <c r="B41" s="1">
        <v>159.0</v>
      </c>
      <c r="C41" s="1" t="b">
        <v>1</v>
      </c>
      <c r="D41" s="1" t="s">
        <v>67</v>
      </c>
      <c r="F41" s="4">
        <v>40.0</v>
      </c>
      <c r="G41" s="1">
        <v>167.0</v>
      </c>
      <c r="H41" s="4" t="b">
        <v>1</v>
      </c>
      <c r="I41" s="1">
        <v>10.0</v>
      </c>
      <c r="J41" s="4" t="b">
        <v>1</v>
      </c>
      <c r="K41" s="1">
        <v>50.0</v>
      </c>
      <c r="L41" s="4" t="b">
        <v>1</v>
      </c>
      <c r="M41" s="1">
        <v>6.0</v>
      </c>
      <c r="N41" s="4" t="b">
        <v>1</v>
      </c>
      <c r="O41" s="1">
        <v>1646.0</v>
      </c>
      <c r="P41" s="4" t="b">
        <v>1</v>
      </c>
      <c r="Q41" s="1">
        <v>48.0</v>
      </c>
      <c r="R41" s="4" t="b">
        <v>1</v>
      </c>
    </row>
    <row r="42">
      <c r="B42" s="1">
        <v>163.0</v>
      </c>
      <c r="C42" s="1" t="b">
        <v>1</v>
      </c>
      <c r="D42" s="1" t="s">
        <v>68</v>
      </c>
      <c r="F42" s="4">
        <v>41.0</v>
      </c>
      <c r="G42" s="1">
        <v>158.0</v>
      </c>
      <c r="H42" s="4" t="b">
        <v>1</v>
      </c>
      <c r="I42" s="1">
        <v>12.0</v>
      </c>
      <c r="J42" s="4" t="b">
        <v>1</v>
      </c>
      <c r="K42" s="1">
        <v>51.0</v>
      </c>
      <c r="L42" s="4" t="b">
        <v>1</v>
      </c>
      <c r="M42" s="1">
        <v>9.0</v>
      </c>
      <c r="N42" s="4" t="b">
        <v>1</v>
      </c>
      <c r="O42" s="1">
        <v>1652.0</v>
      </c>
      <c r="P42" s="4" t="b">
        <v>1</v>
      </c>
      <c r="Q42" s="1">
        <v>48.0</v>
      </c>
      <c r="R42" s="4" t="b">
        <v>1</v>
      </c>
    </row>
    <row r="43">
      <c r="B43" s="1">
        <v>167.0</v>
      </c>
      <c r="C43" s="1" t="b">
        <v>1</v>
      </c>
      <c r="D43" s="1" t="s">
        <v>70</v>
      </c>
      <c r="F43" s="4">
        <v>42.0</v>
      </c>
      <c r="G43" s="1">
        <v>169.0</v>
      </c>
      <c r="H43" s="4" t="b">
        <v>1</v>
      </c>
      <c r="I43" s="1">
        <v>9.0</v>
      </c>
      <c r="J43" s="4" t="b">
        <v>1</v>
      </c>
      <c r="K43" s="1">
        <v>50.0</v>
      </c>
      <c r="L43" s="4" t="b">
        <v>1</v>
      </c>
      <c r="M43" s="1">
        <v>5.0</v>
      </c>
      <c r="N43" s="4" t="b">
        <v>1</v>
      </c>
      <c r="O43" s="1">
        <v>1648.0</v>
      </c>
      <c r="P43" s="4" t="b">
        <v>1</v>
      </c>
      <c r="Q43" s="1">
        <v>47.0</v>
      </c>
      <c r="R43" s="4" t="b">
        <v>1</v>
      </c>
    </row>
    <row r="44">
      <c r="B44" s="1">
        <v>171.0</v>
      </c>
      <c r="C44" s="1" t="b">
        <v>1</v>
      </c>
      <c r="D44" s="1" t="s">
        <v>72</v>
      </c>
      <c r="F44" s="4">
        <v>43.0</v>
      </c>
      <c r="G44" s="1">
        <v>161.0</v>
      </c>
      <c r="H44" s="4" t="b">
        <v>1</v>
      </c>
      <c r="I44" s="1">
        <v>17.0</v>
      </c>
      <c r="J44" s="4" t="b">
        <v>1</v>
      </c>
      <c r="K44" s="1">
        <v>47.0</v>
      </c>
      <c r="L44" s="4" t="b">
        <v>1</v>
      </c>
      <c r="M44" s="1">
        <v>12.0</v>
      </c>
      <c r="N44" s="4" t="b">
        <v>1</v>
      </c>
      <c r="O44" s="1">
        <v>1649.0</v>
      </c>
      <c r="P44" s="4" t="b">
        <v>1</v>
      </c>
      <c r="Q44" s="1">
        <v>52.0</v>
      </c>
      <c r="R44" s="4" t="b">
        <v>1</v>
      </c>
    </row>
    <row r="45">
      <c r="B45" s="1">
        <v>177.0</v>
      </c>
      <c r="C45" s="1" t="b">
        <v>1</v>
      </c>
      <c r="D45" s="1" t="s">
        <v>73</v>
      </c>
      <c r="F45" s="4">
        <v>44.0</v>
      </c>
      <c r="G45" s="1">
        <v>179.0</v>
      </c>
      <c r="H45" s="4" t="b">
        <v>1</v>
      </c>
      <c r="I45" s="1">
        <v>17.0</v>
      </c>
      <c r="J45" s="4" t="b">
        <v>1</v>
      </c>
      <c r="K45" s="1">
        <v>45.0</v>
      </c>
      <c r="L45" s="4" t="b">
        <v>1</v>
      </c>
      <c r="M45" s="1">
        <v>12.0</v>
      </c>
      <c r="N45" s="4" t="b">
        <v>1</v>
      </c>
      <c r="O45" s="1">
        <v>1650.0</v>
      </c>
      <c r="P45" s="4" t="b">
        <v>1</v>
      </c>
      <c r="Q45" s="1">
        <v>52.0</v>
      </c>
      <c r="R45" s="4" t="b">
        <v>1</v>
      </c>
    </row>
    <row r="46">
      <c r="B46" s="1">
        <v>180.0</v>
      </c>
      <c r="C46" s="1" t="b">
        <v>1</v>
      </c>
      <c r="D46" s="1" t="s">
        <v>75</v>
      </c>
      <c r="F46" s="4">
        <v>45.0</v>
      </c>
      <c r="G46" s="1">
        <v>182.0</v>
      </c>
      <c r="H46" s="4" t="b">
        <v>1</v>
      </c>
      <c r="I46" s="1">
        <v>16.0</v>
      </c>
      <c r="J46" s="4" t="b">
        <v>1</v>
      </c>
      <c r="K46" s="1">
        <v>52.0</v>
      </c>
      <c r="L46" s="4" t="b">
        <v>1</v>
      </c>
      <c r="M46" s="1">
        <v>12.0</v>
      </c>
      <c r="N46" s="4" t="b">
        <v>1</v>
      </c>
      <c r="O46" s="1">
        <v>1647.0</v>
      </c>
      <c r="P46" s="4" t="b">
        <v>1</v>
      </c>
      <c r="Q46" s="1">
        <v>51.0</v>
      </c>
      <c r="R46" s="4" t="b">
        <v>1</v>
      </c>
    </row>
    <row r="47">
      <c r="B47" s="1">
        <v>184.0</v>
      </c>
      <c r="C47" s="1" t="b">
        <v>1</v>
      </c>
      <c r="D47" s="1" t="s">
        <v>76</v>
      </c>
      <c r="F47" s="4">
        <v>46.0</v>
      </c>
      <c r="G47" s="1">
        <v>171.0</v>
      </c>
      <c r="H47" s="4" t="b">
        <v>1</v>
      </c>
      <c r="I47" s="1">
        <v>15.0</v>
      </c>
      <c r="J47" s="4" t="b">
        <v>1</v>
      </c>
      <c r="K47" s="1">
        <v>51.0</v>
      </c>
      <c r="L47" s="4" t="b">
        <v>1</v>
      </c>
      <c r="M47" s="1">
        <v>11.0</v>
      </c>
      <c r="N47" s="4" t="b">
        <v>1</v>
      </c>
      <c r="O47" s="1">
        <v>1646.0</v>
      </c>
      <c r="P47" s="4" t="b">
        <v>1</v>
      </c>
      <c r="Q47" s="1">
        <v>49.0</v>
      </c>
      <c r="R47" s="4" t="b">
        <v>1</v>
      </c>
    </row>
    <row r="48">
      <c r="B48" s="1">
        <v>187.0</v>
      </c>
      <c r="C48" s="1" t="b">
        <v>1</v>
      </c>
      <c r="D48" s="1" t="s">
        <v>77</v>
      </c>
      <c r="F48" s="4">
        <v>47.0</v>
      </c>
      <c r="G48" s="1">
        <v>167.0</v>
      </c>
      <c r="H48" s="4" t="b">
        <v>1</v>
      </c>
      <c r="I48" s="1">
        <v>15.0</v>
      </c>
      <c r="J48" s="4" t="b">
        <v>1</v>
      </c>
      <c r="K48" s="1">
        <v>45.0</v>
      </c>
      <c r="L48" s="4" t="b">
        <v>1</v>
      </c>
      <c r="M48" s="1">
        <v>6.0</v>
      </c>
      <c r="N48" s="4" t="b">
        <v>1</v>
      </c>
      <c r="O48" s="1">
        <v>1651.0</v>
      </c>
      <c r="P48" s="4" t="b">
        <v>1</v>
      </c>
      <c r="Q48" s="1">
        <v>47.0</v>
      </c>
      <c r="R48" s="4" t="b">
        <v>1</v>
      </c>
    </row>
    <row r="49">
      <c r="B49" s="1">
        <v>195.0</v>
      </c>
      <c r="C49" s="1" t="b">
        <v>1</v>
      </c>
      <c r="D49" s="1" t="s">
        <v>78</v>
      </c>
      <c r="F49" s="4">
        <v>48.0</v>
      </c>
      <c r="G49" s="1">
        <v>166.0</v>
      </c>
      <c r="H49" s="4" t="b">
        <v>1</v>
      </c>
      <c r="I49" s="1">
        <v>14.0</v>
      </c>
      <c r="J49" s="4" t="b">
        <v>1</v>
      </c>
      <c r="K49" s="1">
        <v>48.0</v>
      </c>
      <c r="L49" s="4" t="b">
        <v>1</v>
      </c>
      <c r="M49" s="1">
        <v>7.0</v>
      </c>
      <c r="N49" s="4" t="b">
        <v>1</v>
      </c>
      <c r="O49" s="1">
        <v>1647.0</v>
      </c>
      <c r="P49" s="4" t="b">
        <v>1</v>
      </c>
      <c r="Q49" s="1">
        <v>47.0</v>
      </c>
      <c r="R49" s="4" t="b">
        <v>1</v>
      </c>
    </row>
    <row r="50">
      <c r="B50" s="1">
        <v>196.0</v>
      </c>
      <c r="C50" s="1" t="b">
        <v>1</v>
      </c>
      <c r="D50" s="1" t="s">
        <v>79</v>
      </c>
      <c r="F50" s="4">
        <v>49.0</v>
      </c>
      <c r="G50" s="1">
        <v>184.0</v>
      </c>
      <c r="H50" s="4" t="b">
        <v>1</v>
      </c>
      <c r="I50" s="1">
        <v>22.0</v>
      </c>
      <c r="J50" s="4" t="b">
        <v>1</v>
      </c>
      <c r="K50" s="1">
        <v>56.0</v>
      </c>
      <c r="L50" s="4" t="b">
        <v>1</v>
      </c>
      <c r="M50" s="1">
        <v>17.0</v>
      </c>
      <c r="N50" s="4" t="b">
        <v>1</v>
      </c>
      <c r="O50" s="1">
        <v>1654.0</v>
      </c>
      <c r="P50" s="4" t="b">
        <v>1</v>
      </c>
      <c r="Q50" s="1">
        <v>53.0</v>
      </c>
      <c r="R50" s="4" t="b">
        <v>1</v>
      </c>
    </row>
    <row r="51">
      <c r="B51" s="1">
        <v>206.0</v>
      </c>
      <c r="C51" s="1" t="b">
        <v>1</v>
      </c>
      <c r="D51" s="1" t="s">
        <v>80</v>
      </c>
      <c r="F51" s="4">
        <v>50.0</v>
      </c>
      <c r="G51" s="1">
        <v>168.0</v>
      </c>
      <c r="H51" s="4" t="b">
        <v>1</v>
      </c>
      <c r="I51" s="1">
        <v>11.0</v>
      </c>
      <c r="J51" s="4" t="b">
        <v>1</v>
      </c>
      <c r="K51" s="1">
        <v>54.0</v>
      </c>
      <c r="L51" s="4" t="b">
        <v>1</v>
      </c>
      <c r="M51" s="1">
        <v>9.0</v>
      </c>
      <c r="N51" s="4" t="b">
        <v>1</v>
      </c>
      <c r="O51" s="1">
        <v>1646.0</v>
      </c>
      <c r="P51" s="4" t="b">
        <v>1</v>
      </c>
      <c r="Q51" s="1">
        <v>51.0</v>
      </c>
      <c r="R51" s="4" t="b">
        <v>1</v>
      </c>
    </row>
    <row r="56">
      <c r="E56" s="1" t="s">
        <v>81</v>
      </c>
      <c r="G56" s="1" t="s">
        <v>99</v>
      </c>
      <c r="I56" s="1" t="s">
        <v>101</v>
      </c>
      <c r="K56" s="1" t="s">
        <v>103</v>
      </c>
      <c r="M56" s="1" t="s">
        <v>105</v>
      </c>
      <c r="O56" s="1" t="s">
        <v>108</v>
      </c>
      <c r="Q56" s="1" t="s">
        <v>110</v>
      </c>
    </row>
    <row r="57">
      <c r="E57" s="1" t="s">
        <v>88</v>
      </c>
      <c r="G57" s="1" t="s">
        <v>114</v>
      </c>
      <c r="I57" s="1" t="s">
        <v>90</v>
      </c>
      <c r="K57" s="1" t="s">
        <v>117</v>
      </c>
      <c r="M57" s="1" t="s">
        <v>119</v>
      </c>
      <c r="O57" s="1" t="s">
        <v>121</v>
      </c>
      <c r="Q57" s="1" t="s">
        <v>117</v>
      </c>
    </row>
    <row r="58">
      <c r="E58" s="1" t="s">
        <v>95</v>
      </c>
      <c r="G58" s="1" t="s">
        <v>122</v>
      </c>
      <c r="I58" s="1" t="s">
        <v>123</v>
      </c>
      <c r="K58" s="1" t="s">
        <v>124</v>
      </c>
      <c r="M58" s="1" t="s">
        <v>125</v>
      </c>
      <c r="O58" s="1" t="s">
        <v>126</v>
      </c>
      <c r="Q58" s="1" t="s">
        <v>124</v>
      </c>
    </row>
    <row r="59">
      <c r="E59" s="1" t="s">
        <v>107</v>
      </c>
    </row>
    <row r="60">
      <c r="E60" s="1" t="s">
        <v>109</v>
      </c>
      <c r="G60" s="1" t="s">
        <v>111</v>
      </c>
      <c r="I60" s="1" t="s">
        <v>112</v>
      </c>
      <c r="K60" s="1" t="s">
        <v>113</v>
      </c>
      <c r="M60" s="1" t="s">
        <v>115</v>
      </c>
      <c r="O60" s="1" t="s">
        <v>116</v>
      </c>
      <c r="Q60" s="1" t="s">
        <v>118</v>
      </c>
    </row>
    <row r="61">
      <c r="E61" s="1" t="s">
        <v>120</v>
      </c>
      <c r="G61" s="3">
        <f>QUARTILE(G2:G51,1)</f>
        <v>162.5</v>
      </c>
      <c r="I61" s="3">
        <f>QUARTILE(I2:I51,1)</f>
        <v>9</v>
      </c>
      <c r="K61" s="3">
        <f>QUARTILE(K2:K51,1)</f>
        <v>48</v>
      </c>
      <c r="M61" s="3">
        <f>QUARTILE(M2:M51,1)</f>
        <v>6</v>
      </c>
      <c r="O61" s="3">
        <f>QUARTILE(O2:O51,1)</f>
        <v>1646</v>
      </c>
      <c r="Q61" s="3">
        <f>QUARTILE(Q2:Q51,1)</f>
        <v>47</v>
      </c>
    </row>
    <row r="62">
      <c r="E62" s="1" t="s">
        <v>127</v>
      </c>
      <c r="G62" s="3">
        <f>QUARTILE(G2:G51,3)</f>
        <v>175</v>
      </c>
      <c r="I62" s="3">
        <f>QUARTILE(I2:I51,3)</f>
        <v>16.75</v>
      </c>
      <c r="K62" s="3">
        <f>QUARTILE(K2:K51,3)</f>
        <v>53.75</v>
      </c>
      <c r="M62" s="3">
        <f>QUARTILE(M2:M51,3)</f>
        <v>12</v>
      </c>
      <c r="O62" s="3">
        <f>QUARTILE(O2:O51,3)</f>
        <v>1649</v>
      </c>
      <c r="Q62" s="3">
        <f>QUARTILE(Q2:Q51,3)</f>
        <v>51</v>
      </c>
    </row>
    <row r="63">
      <c r="E63" s="1" t="s">
        <v>143</v>
      </c>
      <c r="G63" s="3">
        <f>G62-G61</f>
        <v>12.5</v>
      </c>
      <c r="I63" s="3">
        <f>I62-I61</f>
        <v>7.75</v>
      </c>
      <c r="K63" s="3">
        <f>K62-K61</f>
        <v>5.75</v>
      </c>
      <c r="M63" s="3">
        <f>M62-M61</f>
        <v>6</v>
      </c>
      <c r="O63" s="3">
        <f>O62-O61</f>
        <v>3</v>
      </c>
      <c r="Q63" s="3">
        <f>Q62-Q61</f>
        <v>4</v>
      </c>
    </row>
    <row r="64">
      <c r="E64" s="1" t="s">
        <v>146</v>
      </c>
      <c r="G64" s="3">
        <f>1.5*G63</f>
        <v>18.75</v>
      </c>
      <c r="I64" s="3">
        <f>1.5*I63</f>
        <v>11.625</v>
      </c>
      <c r="K64" s="3">
        <f>1.5*K63</f>
        <v>8.625</v>
      </c>
      <c r="M64" s="3">
        <f>1.5*M63</f>
        <v>9</v>
      </c>
      <c r="O64" s="3">
        <f>1.5*O63</f>
        <v>4.5</v>
      </c>
      <c r="Q64" s="3">
        <f>1.5*Q63</f>
        <v>6</v>
      </c>
    </row>
    <row r="65">
      <c r="E65" s="1" t="s">
        <v>5</v>
      </c>
      <c r="G65" s="3">
        <f>G62+G64</f>
        <v>193.75</v>
      </c>
      <c r="I65" s="3">
        <f>I62+I64</f>
        <v>28.375</v>
      </c>
      <c r="K65" s="3">
        <f>K62+K64</f>
        <v>62.375</v>
      </c>
      <c r="M65" s="3">
        <f>M62+M64</f>
        <v>21</v>
      </c>
      <c r="O65" s="3">
        <f>O62+O64</f>
        <v>1653.5</v>
      </c>
      <c r="Q65" s="3">
        <f>Q62+Q64</f>
        <v>57</v>
      </c>
    </row>
    <row r="66">
      <c r="E66" s="1" t="s">
        <v>10</v>
      </c>
      <c r="G66" s="3">
        <f>G61-G64</f>
        <v>143.75</v>
      </c>
      <c r="I66" s="3">
        <f>I61-I64</f>
        <v>-2.625</v>
      </c>
      <c r="K66" s="3">
        <f>K61-K64</f>
        <v>39.375</v>
      </c>
      <c r="M66" s="3">
        <f>M61-M64</f>
        <v>-3</v>
      </c>
      <c r="O66" s="3">
        <f>O61-O64</f>
        <v>1641.5</v>
      </c>
      <c r="Q66" s="3">
        <f>Q61-Q64</f>
        <v>41</v>
      </c>
    </row>
    <row r="67">
      <c r="E67" s="1" t="s">
        <v>150</v>
      </c>
    </row>
    <row r="68">
      <c r="E68" s="1" t="s">
        <v>151</v>
      </c>
    </row>
    <row r="79">
      <c r="G79" s="1" t="s">
        <v>152</v>
      </c>
    </row>
    <row r="80">
      <c r="G80" s="1" t="s">
        <v>32</v>
      </c>
      <c r="H80" s="15">
        <f>TTEST(G2:G51,I2:I51,2,1)</f>
        <v>0</v>
      </c>
    </row>
    <row r="81">
      <c r="G81" s="1" t="s">
        <v>55</v>
      </c>
      <c r="H81" s="15">
        <f>TTEST(K2:K51,M2:M51,2,1)</f>
        <v>0</v>
      </c>
    </row>
    <row r="82">
      <c r="G82" s="1" t="s">
        <v>153</v>
      </c>
      <c r="H82" s="15">
        <f>TTEST(O2:O51,Q2:Q51,2,1)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3</v>
      </c>
      <c r="D1" s="1" t="s">
        <v>4</v>
      </c>
    </row>
    <row r="2">
      <c r="B2" s="1">
        <v>2.0</v>
      </c>
      <c r="C2" s="1" t="b">
        <v>1</v>
      </c>
      <c r="D2" s="1" t="s">
        <v>15</v>
      </c>
    </row>
    <row r="3">
      <c r="B3" s="1">
        <v>3.0</v>
      </c>
      <c r="C3" s="1" t="b">
        <v>1</v>
      </c>
      <c r="D3" s="1" t="s">
        <v>16</v>
      </c>
    </row>
    <row r="4">
      <c r="B4" s="1">
        <v>6.0</v>
      </c>
      <c r="C4" s="1" t="b">
        <v>1</v>
      </c>
      <c r="D4" s="1" t="s">
        <v>17</v>
      </c>
    </row>
    <row r="5">
      <c r="B5" s="1">
        <v>9.0</v>
      </c>
      <c r="C5" s="1" t="b">
        <v>1</v>
      </c>
      <c r="D5" s="1" t="s">
        <v>18</v>
      </c>
    </row>
    <row r="6">
      <c r="B6" s="1">
        <v>16.0</v>
      </c>
      <c r="C6" s="1" t="b">
        <v>1</v>
      </c>
      <c r="D6" s="1" t="s">
        <v>19</v>
      </c>
    </row>
    <row r="7">
      <c r="B7" s="1">
        <v>22.0</v>
      </c>
      <c r="C7" s="1" t="b">
        <v>1</v>
      </c>
      <c r="D7" s="1" t="s">
        <v>20</v>
      </c>
    </row>
    <row r="8">
      <c r="B8" s="1">
        <v>27.0</v>
      </c>
      <c r="C8" s="1" t="b">
        <v>1</v>
      </c>
      <c r="D8" s="1" t="s">
        <v>21</v>
      </c>
    </row>
    <row r="9">
      <c r="B9" s="1">
        <v>31.0</v>
      </c>
      <c r="C9" s="1" t="b">
        <v>1</v>
      </c>
      <c r="D9" s="1" t="s">
        <v>22</v>
      </c>
    </row>
    <row r="10">
      <c r="B10" s="1">
        <v>32.0</v>
      </c>
      <c r="C10" s="1" t="b">
        <v>1</v>
      </c>
      <c r="D10" s="1" t="s">
        <v>23</v>
      </c>
    </row>
    <row r="11">
      <c r="B11" s="1">
        <v>35.0</v>
      </c>
      <c r="C11" s="1" t="b">
        <v>1</v>
      </c>
      <c r="D11" s="1" t="s">
        <v>24</v>
      </c>
    </row>
    <row r="12">
      <c r="B12" s="1">
        <v>37.0</v>
      </c>
      <c r="C12" s="1" t="b">
        <v>1</v>
      </c>
      <c r="D12" s="1" t="s">
        <v>25</v>
      </c>
    </row>
    <row r="13">
      <c r="B13" s="1">
        <v>43.0</v>
      </c>
      <c r="C13" s="1" t="b">
        <v>1</v>
      </c>
      <c r="D13" s="1" t="s">
        <v>26</v>
      </c>
    </row>
    <row r="14">
      <c r="B14" s="1">
        <v>57.0</v>
      </c>
      <c r="C14" s="1" t="b">
        <v>1</v>
      </c>
      <c r="D14" s="1" t="s">
        <v>27</v>
      </c>
      <c r="F14" s="1" t="s">
        <v>184</v>
      </c>
    </row>
    <row r="15">
      <c r="B15" s="1">
        <v>60.0</v>
      </c>
      <c r="C15" s="1" t="b">
        <v>1</v>
      </c>
      <c r="D15" s="1" t="s">
        <v>28</v>
      </c>
    </row>
    <row r="16">
      <c r="B16" s="1">
        <v>61.0</v>
      </c>
      <c r="C16" s="1" t="b">
        <v>1</v>
      </c>
      <c r="D16" s="1" t="s">
        <v>29</v>
      </c>
    </row>
    <row r="17">
      <c r="B17" s="1">
        <v>62.0</v>
      </c>
      <c r="C17" s="1" t="b">
        <v>1</v>
      </c>
      <c r="D17" s="1" t="s">
        <v>31</v>
      </c>
    </row>
    <row r="18">
      <c r="B18" s="1">
        <v>64.0</v>
      </c>
      <c r="C18" s="1" t="b">
        <v>1</v>
      </c>
      <c r="D18" s="1" t="s">
        <v>38</v>
      </c>
    </row>
    <row r="19">
      <c r="B19" s="1">
        <v>71.0</v>
      </c>
      <c r="C19" s="1" t="b">
        <v>1</v>
      </c>
      <c r="D19" s="1" t="s">
        <v>39</v>
      </c>
    </row>
    <row r="20">
      <c r="B20" s="1">
        <v>74.0</v>
      </c>
      <c r="C20" s="1" t="b">
        <v>1</v>
      </c>
      <c r="D20" s="1" t="s">
        <v>42</v>
      </c>
    </row>
    <row r="21">
      <c r="B21" s="1">
        <v>75.0</v>
      </c>
      <c r="C21" s="1" t="b">
        <v>1</v>
      </c>
      <c r="D21" s="1" t="s">
        <v>43</v>
      </c>
    </row>
    <row r="22">
      <c r="B22" s="1">
        <v>79.0</v>
      </c>
      <c r="C22" s="1" t="b">
        <v>1</v>
      </c>
      <c r="D22" s="1" t="s">
        <v>45</v>
      </c>
    </row>
    <row r="23">
      <c r="B23" s="1">
        <v>81.0</v>
      </c>
      <c r="C23" s="1" t="b">
        <v>1</v>
      </c>
      <c r="D23" s="1" t="s">
        <v>47</v>
      </c>
    </row>
    <row r="24">
      <c r="B24" s="1">
        <v>82.0</v>
      </c>
      <c r="C24" s="1" t="b">
        <v>1</v>
      </c>
      <c r="D24" s="1" t="s">
        <v>48</v>
      </c>
    </row>
    <row r="25">
      <c r="B25" s="1">
        <v>89.0</v>
      </c>
      <c r="C25" s="1" t="b">
        <v>1</v>
      </c>
      <c r="D25" s="1" t="s">
        <v>49</v>
      </c>
    </row>
    <row r="26">
      <c r="B26" s="1">
        <v>93.0</v>
      </c>
      <c r="C26" s="1" t="b">
        <v>1</v>
      </c>
      <c r="D26" s="1" t="s">
        <v>51</v>
      </c>
    </row>
    <row r="27">
      <c r="B27" s="1">
        <v>96.0</v>
      </c>
      <c r="C27" s="1" t="b">
        <v>1</v>
      </c>
      <c r="D27" s="1" t="s">
        <v>52</v>
      </c>
    </row>
    <row r="28">
      <c r="B28" s="1">
        <v>100.0</v>
      </c>
      <c r="C28" s="1" t="b">
        <v>1</v>
      </c>
      <c r="D28" s="1" t="s">
        <v>53</v>
      </c>
    </row>
    <row r="29">
      <c r="B29" s="1">
        <v>111.0</v>
      </c>
      <c r="C29" s="1" t="b">
        <v>1</v>
      </c>
      <c r="D29" s="1" t="s">
        <v>54</v>
      </c>
      <c r="F29" s="30"/>
    </row>
    <row r="30">
      <c r="B30" s="1">
        <v>112.0</v>
      </c>
      <c r="C30" s="1" t="b">
        <v>1</v>
      </c>
      <c r="D30" s="1" t="s">
        <v>56</v>
      </c>
    </row>
    <row r="31">
      <c r="B31" s="1">
        <v>115.0</v>
      </c>
      <c r="C31" s="1" t="b">
        <v>1</v>
      </c>
      <c r="D31" s="1" t="s">
        <v>57</v>
      </c>
    </row>
    <row r="32">
      <c r="B32" s="1">
        <v>117.0</v>
      </c>
      <c r="C32" s="1" t="b">
        <v>1</v>
      </c>
      <c r="D32" s="1" t="s">
        <v>58</v>
      </c>
    </row>
    <row r="33">
      <c r="B33" s="1">
        <v>118.0</v>
      </c>
      <c r="C33" s="1" t="b">
        <v>1</v>
      </c>
      <c r="D33" s="1" t="s">
        <v>59</v>
      </c>
    </row>
    <row r="34">
      <c r="B34" s="1">
        <v>119.0</v>
      </c>
      <c r="C34" s="1" t="b">
        <v>1</v>
      </c>
      <c r="D34" s="1" t="s">
        <v>60</v>
      </c>
    </row>
    <row r="35">
      <c r="B35" s="1">
        <v>122.0</v>
      </c>
      <c r="C35" s="1" t="b">
        <v>1</v>
      </c>
      <c r="D35" s="1" t="s">
        <v>61</v>
      </c>
    </row>
    <row r="36">
      <c r="B36" s="1">
        <v>123.0</v>
      </c>
      <c r="C36" s="1" t="b">
        <v>1</v>
      </c>
      <c r="D36" s="1" t="s">
        <v>62</v>
      </c>
    </row>
    <row r="37">
      <c r="B37" s="1">
        <v>131.0</v>
      </c>
      <c r="C37" s="1" t="b">
        <v>1</v>
      </c>
      <c r="D37" s="1" t="s">
        <v>63</v>
      </c>
    </row>
    <row r="38">
      <c r="B38" s="1">
        <v>141.0</v>
      </c>
      <c r="C38" s="1" t="b">
        <v>1</v>
      </c>
      <c r="D38" s="1" t="s">
        <v>64</v>
      </c>
    </row>
    <row r="39">
      <c r="B39" s="1">
        <v>146.0</v>
      </c>
      <c r="C39" s="1" t="b">
        <v>1</v>
      </c>
      <c r="D39" s="1" t="s">
        <v>65</v>
      </c>
      <c r="F39" s="1" t="s">
        <v>184</v>
      </c>
    </row>
    <row r="40">
      <c r="B40" s="1">
        <v>148.0</v>
      </c>
      <c r="C40" s="1" t="b">
        <v>1</v>
      </c>
      <c r="D40" s="1" t="s">
        <v>66</v>
      </c>
    </row>
    <row r="41">
      <c r="B41" s="1">
        <v>159.0</v>
      </c>
      <c r="C41" s="1" t="b">
        <v>1</v>
      </c>
      <c r="D41" s="1" t="s">
        <v>67</v>
      </c>
      <c r="F41" s="1" t="s">
        <v>184</v>
      </c>
    </row>
    <row r="42">
      <c r="B42" s="1">
        <v>163.0</v>
      </c>
      <c r="C42" s="1" t="b">
        <v>1</v>
      </c>
      <c r="D42" s="1" t="s">
        <v>68</v>
      </c>
    </row>
    <row r="43">
      <c r="B43" s="1">
        <v>167.0</v>
      </c>
      <c r="C43" s="1" t="b">
        <v>1</v>
      </c>
      <c r="D43" s="1" t="s">
        <v>70</v>
      </c>
    </row>
    <row r="44">
      <c r="B44" s="1">
        <v>171.0</v>
      </c>
      <c r="C44" s="1" t="b">
        <v>1</v>
      </c>
      <c r="D44" s="1" t="s">
        <v>72</v>
      </c>
    </row>
    <row r="45">
      <c r="B45" s="1">
        <v>177.0</v>
      </c>
      <c r="C45" s="1" t="b">
        <v>1</v>
      </c>
      <c r="D45" s="1" t="s">
        <v>73</v>
      </c>
    </row>
    <row r="46">
      <c r="B46" s="1">
        <v>180.0</v>
      </c>
      <c r="C46" s="1" t="b">
        <v>1</v>
      </c>
      <c r="D46" s="1" t="s">
        <v>75</v>
      </c>
    </row>
    <row r="47">
      <c r="B47" s="1">
        <v>184.0</v>
      </c>
      <c r="C47" s="1" t="b">
        <v>1</v>
      </c>
      <c r="D47" s="1" t="s">
        <v>76</v>
      </c>
    </row>
    <row r="48">
      <c r="B48" s="1">
        <v>187.0</v>
      </c>
      <c r="C48" s="1" t="b">
        <v>1</v>
      </c>
      <c r="D48" s="1" t="s">
        <v>77</v>
      </c>
    </row>
    <row r="49">
      <c r="B49" s="1">
        <v>195.0</v>
      </c>
      <c r="C49" s="1" t="b">
        <v>1</v>
      </c>
      <c r="D49" s="1" t="s">
        <v>78</v>
      </c>
    </row>
    <row r="50">
      <c r="B50" s="1">
        <v>196.0</v>
      </c>
      <c r="C50" s="1" t="b">
        <v>1</v>
      </c>
      <c r="D50" s="1" t="s">
        <v>79</v>
      </c>
    </row>
    <row r="51">
      <c r="B51" s="1">
        <v>206.0</v>
      </c>
      <c r="C51" s="1" t="b">
        <v>1</v>
      </c>
      <c r="D51" s="1" t="s">
        <v>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13"/>
    <col customWidth="1" min="2" max="2" width="5.5"/>
    <col customWidth="1" min="3" max="3" width="29.13"/>
  </cols>
  <sheetData>
    <row r="1">
      <c r="B1" s="19"/>
      <c r="C1" s="1" t="s">
        <v>182</v>
      </c>
      <c r="D1" s="3">
        <v>583.94225</v>
      </c>
      <c r="F1" s="3">
        <v>1120.5</v>
      </c>
      <c r="H1" s="1">
        <v>72.0</v>
      </c>
      <c r="J1" s="1" t="s">
        <v>183</v>
      </c>
    </row>
    <row r="2">
      <c r="B2" s="20"/>
      <c r="C2" s="1" t="s">
        <v>185</v>
      </c>
      <c r="D2" s="3">
        <v>-90.20774999999995</v>
      </c>
      <c r="F2" s="3">
        <v>692.5</v>
      </c>
      <c r="H2" s="1">
        <v>72.0</v>
      </c>
      <c r="J2" s="1" t="s">
        <v>186</v>
      </c>
      <c r="K2" s="21"/>
    </row>
    <row r="3">
      <c r="B3" s="22"/>
      <c r="C3" s="23"/>
      <c r="D3" s="24" t="s">
        <v>187</v>
      </c>
      <c r="E3" s="24" t="s">
        <v>188</v>
      </c>
      <c r="F3" s="25"/>
      <c r="G3" s="26" t="s">
        <v>189</v>
      </c>
      <c r="H3" s="26"/>
    </row>
    <row r="4">
      <c r="A4" s="1" t="s">
        <v>190</v>
      </c>
      <c r="B4" s="27" t="s">
        <v>191</v>
      </c>
      <c r="C4" s="28" t="s">
        <v>192</v>
      </c>
      <c r="D4" s="28" t="s">
        <v>193</v>
      </c>
      <c r="E4" s="29" t="s">
        <v>194</v>
      </c>
      <c r="F4" s="27" t="s">
        <v>195</v>
      </c>
      <c r="G4" s="29" t="s">
        <v>196</v>
      </c>
      <c r="H4" s="27" t="s">
        <v>197</v>
      </c>
      <c r="I4" s="1" t="s">
        <v>198</v>
      </c>
    </row>
    <row r="5">
      <c r="A5" s="1">
        <v>1.0</v>
      </c>
      <c r="B5" s="31" t="b">
        <v>1</v>
      </c>
      <c r="C5" s="32" t="s">
        <v>15</v>
      </c>
      <c r="D5" s="34">
        <v>388.679</v>
      </c>
      <c r="E5" s="1">
        <v>1280.0</v>
      </c>
      <c r="F5" s="31">
        <v>960.0</v>
      </c>
      <c r="G5" s="1">
        <v>72.0</v>
      </c>
      <c r="H5" s="1">
        <v>72.0</v>
      </c>
      <c r="I5" s="35" t="b">
        <v>1</v>
      </c>
    </row>
    <row r="6">
      <c r="A6" s="1">
        <v>2.0</v>
      </c>
      <c r="B6" s="31" t="b">
        <v>1</v>
      </c>
      <c r="C6" s="32" t="s">
        <v>16</v>
      </c>
      <c r="D6" s="36">
        <v>1057.946</v>
      </c>
      <c r="E6" s="1">
        <v>1280.0</v>
      </c>
      <c r="F6" s="31">
        <v>960.0</v>
      </c>
      <c r="G6" s="37">
        <v>180.0</v>
      </c>
      <c r="H6" s="37">
        <v>180.0</v>
      </c>
      <c r="I6" s="24" t="b">
        <v>1</v>
      </c>
    </row>
    <row r="7">
      <c r="A7" s="1">
        <v>3.0</v>
      </c>
      <c r="B7" s="31" t="b">
        <v>1</v>
      </c>
      <c r="C7" s="32" t="s">
        <v>17</v>
      </c>
      <c r="D7" s="34">
        <v>295.498</v>
      </c>
      <c r="E7" s="1">
        <v>1280.0</v>
      </c>
      <c r="F7" s="31">
        <v>853.0</v>
      </c>
      <c r="G7" s="1">
        <v>72.0</v>
      </c>
      <c r="H7" s="1">
        <v>72.0</v>
      </c>
      <c r="I7" s="24" t="b">
        <v>1</v>
      </c>
    </row>
    <row r="8">
      <c r="A8" s="1">
        <v>4.0</v>
      </c>
      <c r="B8" s="31" t="b">
        <v>1</v>
      </c>
      <c r="C8" s="32" t="s">
        <v>18</v>
      </c>
      <c r="D8" s="34">
        <v>83.567</v>
      </c>
      <c r="E8" s="1">
        <v>1280.0</v>
      </c>
      <c r="F8" s="31">
        <v>853.0</v>
      </c>
      <c r="G8" s="37">
        <v>300.0</v>
      </c>
      <c r="H8" s="37">
        <v>300.0</v>
      </c>
      <c r="I8" s="24" t="b">
        <v>1</v>
      </c>
    </row>
    <row r="9">
      <c r="A9" s="1">
        <v>5.0</v>
      </c>
      <c r="B9" s="31" t="b">
        <v>1</v>
      </c>
      <c r="C9" s="32" t="s">
        <v>19</v>
      </c>
      <c r="D9" s="34">
        <v>122.354</v>
      </c>
      <c r="E9" s="1">
        <v>1280.0</v>
      </c>
      <c r="F9" s="31">
        <v>853.0</v>
      </c>
      <c r="G9" s="37">
        <v>350.0</v>
      </c>
      <c r="H9" s="37">
        <v>350.0</v>
      </c>
      <c r="I9" s="24" t="b">
        <v>1</v>
      </c>
    </row>
    <row r="10">
      <c r="A10" s="1">
        <v>6.0</v>
      </c>
      <c r="B10" s="31" t="b">
        <v>1</v>
      </c>
      <c r="C10" s="32" t="s">
        <v>20</v>
      </c>
      <c r="D10" s="34">
        <v>157.589</v>
      </c>
      <c r="E10" s="1">
        <v>1280.0</v>
      </c>
      <c r="F10" s="31">
        <v>1056.0</v>
      </c>
      <c r="G10" s="37">
        <v>96.0</v>
      </c>
      <c r="H10" s="37">
        <v>96.0</v>
      </c>
      <c r="I10" s="24" t="b">
        <v>1</v>
      </c>
    </row>
    <row r="11">
      <c r="A11" s="1">
        <v>7.0</v>
      </c>
      <c r="B11" s="31" t="b">
        <v>1</v>
      </c>
      <c r="C11" s="32" t="s">
        <v>21</v>
      </c>
      <c r="D11" s="34">
        <v>184.801</v>
      </c>
      <c r="E11" s="1">
        <v>1280.0</v>
      </c>
      <c r="F11" s="31">
        <v>852.0</v>
      </c>
      <c r="G11" s="1">
        <v>72.0</v>
      </c>
      <c r="H11" s="1">
        <v>72.0</v>
      </c>
      <c r="I11" s="24" t="b">
        <v>1</v>
      </c>
    </row>
    <row r="12">
      <c r="A12" s="1">
        <v>8.0</v>
      </c>
      <c r="B12" s="31" t="b">
        <v>1</v>
      </c>
      <c r="C12" s="32" t="s">
        <v>22</v>
      </c>
      <c r="D12" s="34">
        <v>132.398</v>
      </c>
      <c r="E12" s="1">
        <v>1280.0</v>
      </c>
      <c r="F12" s="31">
        <v>854.0</v>
      </c>
      <c r="G12" s="1">
        <v>72.0</v>
      </c>
      <c r="H12" s="1">
        <v>72.0</v>
      </c>
      <c r="I12" s="24" t="b">
        <v>1</v>
      </c>
    </row>
    <row r="13">
      <c r="A13" s="1">
        <v>9.0</v>
      </c>
      <c r="B13" s="31" t="b">
        <v>1</v>
      </c>
      <c r="C13" s="32" t="s">
        <v>23</v>
      </c>
      <c r="D13" s="34">
        <v>227.217</v>
      </c>
      <c r="E13" s="1">
        <v>1280.0</v>
      </c>
      <c r="F13" s="31">
        <v>851.0</v>
      </c>
      <c r="G13" s="1">
        <v>72.0</v>
      </c>
      <c r="H13" s="1">
        <v>72.0</v>
      </c>
      <c r="I13" s="24" t="b">
        <v>1</v>
      </c>
    </row>
    <row r="14">
      <c r="A14" s="1">
        <v>10.0</v>
      </c>
      <c r="B14" s="31" t="b">
        <v>1</v>
      </c>
      <c r="C14" s="32" t="s">
        <v>24</v>
      </c>
      <c r="D14" s="34">
        <v>239.624</v>
      </c>
      <c r="E14" s="1">
        <v>1280.0</v>
      </c>
      <c r="F14" s="31">
        <v>853.0</v>
      </c>
      <c r="G14" s="1">
        <v>72.0</v>
      </c>
      <c r="H14" s="1">
        <v>72.0</v>
      </c>
      <c r="I14" s="24" t="b">
        <v>1</v>
      </c>
    </row>
    <row r="15">
      <c r="A15" s="1">
        <v>11.0</v>
      </c>
      <c r="B15" s="31" t="b">
        <v>1</v>
      </c>
      <c r="C15" s="32" t="s">
        <v>25</v>
      </c>
      <c r="D15" s="34">
        <v>104.545</v>
      </c>
      <c r="E15" s="1">
        <v>1280.0</v>
      </c>
      <c r="F15" s="31">
        <v>853.0</v>
      </c>
      <c r="G15" s="1">
        <v>72.0</v>
      </c>
      <c r="H15" s="1">
        <v>72.0</v>
      </c>
      <c r="I15" s="24" t="b">
        <v>1</v>
      </c>
    </row>
    <row r="16">
      <c r="A16" s="1">
        <v>12.0</v>
      </c>
      <c r="B16" s="31" t="b">
        <v>1</v>
      </c>
      <c r="C16" s="32" t="s">
        <v>26</v>
      </c>
      <c r="D16" s="34">
        <v>152.192</v>
      </c>
      <c r="E16" s="1">
        <v>1280.0</v>
      </c>
      <c r="F16" s="31">
        <v>800.0</v>
      </c>
      <c r="G16" s="1">
        <v>72.0</v>
      </c>
      <c r="H16" s="1">
        <v>72.0</v>
      </c>
      <c r="I16" s="24" t="b">
        <v>1</v>
      </c>
      <c r="K16" s="41"/>
      <c r="L16" s="41"/>
      <c r="M16" s="41"/>
    </row>
    <row r="17">
      <c r="A17" s="1">
        <v>13.0</v>
      </c>
      <c r="B17" s="31" t="b">
        <v>1</v>
      </c>
      <c r="C17" s="32" t="s">
        <v>27</v>
      </c>
      <c r="D17" s="34">
        <v>308.489</v>
      </c>
      <c r="E17" s="1">
        <v>1280.0</v>
      </c>
      <c r="F17" s="31">
        <v>960.0</v>
      </c>
      <c r="G17" s="1">
        <v>72.0</v>
      </c>
      <c r="H17" s="1">
        <v>72.0</v>
      </c>
      <c r="I17" s="24" t="b">
        <v>1</v>
      </c>
      <c r="M17" s="41"/>
    </row>
    <row r="18">
      <c r="A18" s="1">
        <v>14.0</v>
      </c>
      <c r="B18" s="31" t="b">
        <v>1</v>
      </c>
      <c r="C18" s="32" t="s">
        <v>28</v>
      </c>
      <c r="D18" s="36">
        <v>601.703</v>
      </c>
      <c r="E18" s="1">
        <v>1280.0</v>
      </c>
      <c r="F18" s="31">
        <v>960.0</v>
      </c>
      <c r="G18" s="1">
        <v>72.0</v>
      </c>
      <c r="H18" s="1">
        <v>72.0</v>
      </c>
      <c r="I18" s="24" t="b">
        <v>1</v>
      </c>
      <c r="L18" s="41"/>
      <c r="M18" s="41"/>
      <c r="N18" s="42"/>
    </row>
    <row r="19">
      <c r="A19" s="1">
        <v>15.0</v>
      </c>
      <c r="B19" s="31" t="b">
        <v>1</v>
      </c>
      <c r="C19" s="32" t="s">
        <v>29</v>
      </c>
      <c r="D19" s="34">
        <v>180.858</v>
      </c>
      <c r="E19" s="1">
        <v>1280.0</v>
      </c>
      <c r="F19" s="31">
        <v>857.0</v>
      </c>
      <c r="G19" s="1">
        <v>72.0</v>
      </c>
      <c r="H19" s="1">
        <v>72.0</v>
      </c>
      <c r="I19" s="24" t="b">
        <v>1</v>
      </c>
      <c r="M19" s="41"/>
    </row>
    <row r="20">
      <c r="A20" s="1">
        <v>16.0</v>
      </c>
      <c r="B20" s="31" t="b">
        <v>1</v>
      </c>
      <c r="C20" s="32" t="s">
        <v>31</v>
      </c>
      <c r="D20" s="34">
        <v>117.503</v>
      </c>
      <c r="E20" s="1">
        <v>1280.0</v>
      </c>
      <c r="F20" s="31">
        <v>960.0</v>
      </c>
      <c r="G20" s="1">
        <v>72.0</v>
      </c>
      <c r="H20" s="1">
        <v>72.0</v>
      </c>
      <c r="I20" s="24" t="b">
        <v>1</v>
      </c>
      <c r="L20" s="41"/>
      <c r="M20" s="41"/>
    </row>
    <row r="21">
      <c r="A21" s="1">
        <v>17.0</v>
      </c>
      <c r="B21" s="31" t="b">
        <v>1</v>
      </c>
      <c r="C21" s="32" t="s">
        <v>38</v>
      </c>
      <c r="D21" s="34">
        <v>236.656</v>
      </c>
      <c r="E21" s="1">
        <v>1280.0</v>
      </c>
      <c r="F21" s="31">
        <v>960.0</v>
      </c>
      <c r="G21" s="1">
        <v>72.0</v>
      </c>
      <c r="H21" s="1">
        <v>72.0</v>
      </c>
      <c r="I21" s="24" t="b">
        <v>1</v>
      </c>
      <c r="M21" s="41"/>
    </row>
    <row r="22">
      <c r="A22" s="1">
        <v>18.0</v>
      </c>
      <c r="B22" s="31" t="b">
        <v>1</v>
      </c>
      <c r="C22" s="32" t="s">
        <v>39</v>
      </c>
      <c r="D22" s="36">
        <v>606.706</v>
      </c>
      <c r="E22" s="1">
        <v>1280.0</v>
      </c>
      <c r="F22" s="31">
        <v>960.0</v>
      </c>
      <c r="G22" s="1">
        <v>72.0</v>
      </c>
      <c r="H22" s="1">
        <v>72.0</v>
      </c>
      <c r="I22" s="24" t="b">
        <v>1</v>
      </c>
      <c r="K22" s="41"/>
      <c r="L22" s="41"/>
      <c r="M22" s="41"/>
    </row>
    <row r="23">
      <c r="A23" s="1">
        <v>19.0</v>
      </c>
      <c r="B23" s="31" t="b">
        <v>1</v>
      </c>
      <c r="C23" s="32" t="s">
        <v>42</v>
      </c>
      <c r="D23" s="34">
        <v>240.751</v>
      </c>
      <c r="E23" s="1">
        <v>1280.0</v>
      </c>
      <c r="F23" s="31">
        <v>960.0</v>
      </c>
      <c r="G23" s="37">
        <v>150.0</v>
      </c>
      <c r="H23" s="37">
        <v>150.0</v>
      </c>
      <c r="I23" s="24" t="b">
        <v>1</v>
      </c>
      <c r="M23" s="41"/>
    </row>
    <row r="24">
      <c r="A24" s="1">
        <v>20.0</v>
      </c>
      <c r="B24" s="31" t="b">
        <v>1</v>
      </c>
      <c r="C24" s="32" t="s">
        <v>43</v>
      </c>
      <c r="D24" s="34">
        <v>148.208</v>
      </c>
      <c r="E24" s="1">
        <v>1280.0</v>
      </c>
      <c r="F24" s="31">
        <v>854.0</v>
      </c>
      <c r="G24" s="1">
        <v>72.0</v>
      </c>
      <c r="H24" s="1">
        <v>72.0</v>
      </c>
      <c r="I24" s="24" t="b">
        <v>1</v>
      </c>
      <c r="L24" s="41"/>
      <c r="M24" s="41"/>
    </row>
    <row r="25">
      <c r="A25" s="1">
        <v>21.0</v>
      </c>
      <c r="B25" s="31" t="b">
        <v>1</v>
      </c>
      <c r="C25" s="32" t="s">
        <v>45</v>
      </c>
      <c r="D25" s="34">
        <v>189.634</v>
      </c>
      <c r="E25" s="1">
        <v>1280.0</v>
      </c>
      <c r="F25" s="31">
        <v>854.0</v>
      </c>
      <c r="G25" s="1">
        <v>72.0</v>
      </c>
      <c r="H25" s="1">
        <v>72.0</v>
      </c>
      <c r="I25" s="24" t="b">
        <v>1</v>
      </c>
      <c r="M25" s="41"/>
    </row>
    <row r="26">
      <c r="A26" s="1">
        <v>22.0</v>
      </c>
      <c r="B26" s="31" t="b">
        <v>1</v>
      </c>
      <c r="C26" s="32" t="s">
        <v>47</v>
      </c>
      <c r="D26" s="34">
        <v>123.993</v>
      </c>
      <c r="E26" s="1">
        <v>1280.0</v>
      </c>
      <c r="F26" s="31">
        <v>853.0</v>
      </c>
      <c r="G26" s="1">
        <v>72.0</v>
      </c>
      <c r="H26" s="1">
        <v>72.0</v>
      </c>
      <c r="I26" s="24" t="b">
        <v>1</v>
      </c>
      <c r="L26" s="41"/>
      <c r="M26" s="41"/>
    </row>
    <row r="27">
      <c r="A27" s="1">
        <v>23.0</v>
      </c>
      <c r="B27" s="31" t="b">
        <v>1</v>
      </c>
      <c r="C27" s="32" t="s">
        <v>48</v>
      </c>
      <c r="D27" s="34">
        <v>92.642</v>
      </c>
      <c r="E27" s="1">
        <v>1280.0</v>
      </c>
      <c r="F27" s="31">
        <v>853.0</v>
      </c>
      <c r="G27" s="1">
        <v>72.0</v>
      </c>
      <c r="H27" s="1">
        <v>72.0</v>
      </c>
      <c r="I27" s="24" t="b">
        <v>1</v>
      </c>
      <c r="M27" s="41"/>
    </row>
    <row r="28">
      <c r="A28" s="1">
        <v>24.0</v>
      </c>
      <c r="B28" s="31" t="b">
        <v>1</v>
      </c>
      <c r="C28" s="32" t="s">
        <v>49</v>
      </c>
      <c r="D28" s="34">
        <v>174.626</v>
      </c>
      <c r="E28" s="1">
        <v>1280.0</v>
      </c>
      <c r="F28" s="31">
        <v>960.0</v>
      </c>
      <c r="G28" s="1">
        <v>72.0</v>
      </c>
      <c r="H28" s="1">
        <v>72.0</v>
      </c>
      <c r="I28" s="24" t="b">
        <v>1</v>
      </c>
      <c r="K28" s="41"/>
      <c r="L28" s="41"/>
      <c r="M28" s="41"/>
    </row>
    <row r="29">
      <c r="A29" s="1">
        <v>25.0</v>
      </c>
      <c r="B29" s="31" t="b">
        <v>1</v>
      </c>
      <c r="C29" s="32" t="s">
        <v>51</v>
      </c>
      <c r="D29" s="34">
        <v>423.674</v>
      </c>
      <c r="E29" s="1">
        <v>1280.0</v>
      </c>
      <c r="F29" s="31">
        <v>1026.0</v>
      </c>
      <c r="G29" s="1">
        <v>72.0</v>
      </c>
      <c r="H29" s="1">
        <v>72.0</v>
      </c>
      <c r="I29" s="24" t="b">
        <v>1</v>
      </c>
      <c r="M29" s="41"/>
    </row>
    <row r="30">
      <c r="A30" s="1">
        <v>26.0</v>
      </c>
      <c r="B30" s="31" t="b">
        <v>1</v>
      </c>
      <c r="C30" s="32" t="s">
        <v>52</v>
      </c>
      <c r="D30" s="34">
        <v>171.249</v>
      </c>
      <c r="E30" s="1">
        <v>1280.0</v>
      </c>
      <c r="F30" s="31">
        <v>853.0</v>
      </c>
      <c r="G30" s="1">
        <v>72.0</v>
      </c>
      <c r="H30" s="1">
        <v>72.0</v>
      </c>
      <c r="I30" s="24" t="b">
        <v>1</v>
      </c>
      <c r="L30" s="41"/>
      <c r="M30" s="41"/>
    </row>
    <row r="31">
      <c r="A31" s="1">
        <v>27.0</v>
      </c>
      <c r="B31" s="31" t="b">
        <v>1</v>
      </c>
      <c r="C31" s="32" t="s">
        <v>53</v>
      </c>
      <c r="D31" s="34">
        <v>250.548</v>
      </c>
      <c r="E31" s="1">
        <v>1280.0</v>
      </c>
      <c r="F31" s="31">
        <v>918.0</v>
      </c>
      <c r="G31" s="1">
        <v>72.0</v>
      </c>
      <c r="H31" s="1">
        <v>72.0</v>
      </c>
      <c r="I31" s="24" t="b">
        <v>1</v>
      </c>
      <c r="M31" s="41"/>
    </row>
    <row r="32">
      <c r="A32" s="1">
        <v>28.0</v>
      </c>
      <c r="B32" s="31" t="b">
        <v>1</v>
      </c>
      <c r="C32" s="32" t="s">
        <v>54</v>
      </c>
      <c r="D32" s="34">
        <v>216.874</v>
      </c>
      <c r="E32" s="1">
        <v>1280.0</v>
      </c>
      <c r="F32" s="31">
        <v>972.0</v>
      </c>
      <c r="G32" s="37">
        <v>240.0</v>
      </c>
      <c r="H32" s="37">
        <v>240.0</v>
      </c>
      <c r="I32" s="24" t="b">
        <v>1</v>
      </c>
      <c r="L32" s="41"/>
      <c r="M32" s="41"/>
    </row>
    <row r="33">
      <c r="A33" s="1">
        <v>29.0</v>
      </c>
      <c r="B33" s="31" t="b">
        <v>1</v>
      </c>
      <c r="C33" s="32" t="s">
        <v>56</v>
      </c>
      <c r="D33" s="36">
        <v>1362.125</v>
      </c>
      <c r="E33" s="1">
        <v>1280.0</v>
      </c>
      <c r="F33" s="31">
        <v>1056.0</v>
      </c>
      <c r="G33" s="37">
        <v>300.0</v>
      </c>
      <c r="H33" s="37">
        <v>300.0</v>
      </c>
      <c r="I33" s="24" t="b">
        <v>1</v>
      </c>
      <c r="M33" s="41"/>
    </row>
    <row r="34">
      <c r="A34" s="1">
        <v>30.0</v>
      </c>
      <c r="B34" s="31" t="b">
        <v>1</v>
      </c>
      <c r="C34" s="32" t="s">
        <v>57</v>
      </c>
      <c r="D34" s="34">
        <v>92.296</v>
      </c>
      <c r="E34" s="1">
        <v>1200.0</v>
      </c>
      <c r="F34" s="31">
        <v>797.0</v>
      </c>
      <c r="G34" s="1">
        <v>72.0</v>
      </c>
      <c r="H34" s="1">
        <v>72.0</v>
      </c>
      <c r="I34" s="24" t="b">
        <v>1</v>
      </c>
    </row>
    <row r="35">
      <c r="A35" s="1">
        <v>31.0</v>
      </c>
      <c r="B35" s="31" t="b">
        <v>1</v>
      </c>
      <c r="C35" s="32" t="s">
        <v>58</v>
      </c>
      <c r="D35" s="34">
        <v>161.112</v>
      </c>
      <c r="E35" s="1">
        <v>1280.0</v>
      </c>
      <c r="F35" s="31">
        <v>960.0</v>
      </c>
      <c r="G35" s="1">
        <v>72.0</v>
      </c>
      <c r="H35" s="1">
        <v>72.0</v>
      </c>
      <c r="I35" s="24" t="b">
        <v>1</v>
      </c>
    </row>
    <row r="36">
      <c r="A36" s="1">
        <v>32.0</v>
      </c>
      <c r="B36" s="31" t="b">
        <v>1</v>
      </c>
      <c r="C36" s="32" t="s">
        <v>59</v>
      </c>
      <c r="D36" s="36">
        <v>953.395</v>
      </c>
      <c r="E36" s="1">
        <v>1280.0</v>
      </c>
      <c r="F36" s="31">
        <v>960.0</v>
      </c>
      <c r="G36" s="37">
        <v>96.0</v>
      </c>
      <c r="H36" s="37">
        <v>96.0</v>
      </c>
      <c r="I36" s="24" t="b">
        <v>1</v>
      </c>
    </row>
    <row r="37">
      <c r="A37" s="1">
        <v>33.0</v>
      </c>
      <c r="B37" s="31" t="b">
        <v>1</v>
      </c>
      <c r="C37" s="32" t="s">
        <v>60</v>
      </c>
      <c r="D37" s="34">
        <v>335.508</v>
      </c>
      <c r="E37" s="1">
        <v>1280.0</v>
      </c>
      <c r="F37" s="31">
        <v>875.0</v>
      </c>
      <c r="G37" s="37">
        <v>240.0</v>
      </c>
      <c r="H37" s="37">
        <v>240.0</v>
      </c>
      <c r="I37" s="24" t="b">
        <v>1</v>
      </c>
    </row>
    <row r="38">
      <c r="A38" s="1">
        <v>34.0</v>
      </c>
      <c r="B38" s="31" t="b">
        <v>1</v>
      </c>
      <c r="C38" s="32" t="s">
        <v>61</v>
      </c>
      <c r="D38" s="34">
        <v>283.697</v>
      </c>
      <c r="E38" s="1">
        <v>1280.0</v>
      </c>
      <c r="F38" s="31">
        <v>796.0</v>
      </c>
      <c r="G38" s="1">
        <v>72.0</v>
      </c>
      <c r="H38" s="1">
        <v>72.0</v>
      </c>
      <c r="I38" s="24" t="b">
        <v>1</v>
      </c>
    </row>
    <row r="39">
      <c r="A39" s="1">
        <v>35.0</v>
      </c>
      <c r="B39" s="31" t="b">
        <v>1</v>
      </c>
      <c r="C39" s="32" t="s">
        <v>62</v>
      </c>
      <c r="D39" s="34">
        <v>287.017</v>
      </c>
      <c r="E39" s="1">
        <v>1280.0</v>
      </c>
      <c r="F39" s="31">
        <v>864.0</v>
      </c>
      <c r="G39" s="1">
        <v>72.0</v>
      </c>
      <c r="H39" s="1">
        <v>72.0</v>
      </c>
      <c r="I39" s="24" t="b">
        <v>1</v>
      </c>
    </row>
    <row r="40">
      <c r="A40" s="1">
        <v>36.0</v>
      </c>
      <c r="B40" s="31" t="b">
        <v>1</v>
      </c>
      <c r="C40" s="32" t="s">
        <v>63</v>
      </c>
      <c r="D40" s="34">
        <v>574.414</v>
      </c>
      <c r="E40" s="1">
        <v>1280.0</v>
      </c>
      <c r="F40" s="31">
        <v>960.0</v>
      </c>
      <c r="G40" s="1">
        <v>72.0</v>
      </c>
      <c r="H40" s="1">
        <v>72.0</v>
      </c>
      <c r="I40" s="24" t="b">
        <v>1</v>
      </c>
    </row>
    <row r="41">
      <c r="A41" s="1">
        <v>37.0</v>
      </c>
      <c r="B41" s="31" t="b">
        <v>1</v>
      </c>
      <c r="C41" s="32" t="s">
        <v>64</v>
      </c>
      <c r="D41" s="34">
        <v>209.678</v>
      </c>
      <c r="E41" s="1">
        <v>1280.0</v>
      </c>
      <c r="F41" s="31">
        <v>961.0</v>
      </c>
      <c r="G41" s="1">
        <v>72.0</v>
      </c>
      <c r="H41" s="1">
        <v>72.0</v>
      </c>
      <c r="I41" s="24" t="b">
        <v>1</v>
      </c>
    </row>
    <row r="42">
      <c r="A42" s="1">
        <v>38.0</v>
      </c>
      <c r="B42" s="31" t="b">
        <v>1</v>
      </c>
      <c r="C42" s="32" t="s">
        <v>65</v>
      </c>
      <c r="D42" s="34">
        <v>167.058</v>
      </c>
      <c r="E42" s="1">
        <v>1280.0</v>
      </c>
      <c r="F42" s="31">
        <v>879.0</v>
      </c>
      <c r="G42" s="37">
        <v>300.0</v>
      </c>
      <c r="H42" s="37">
        <v>300.0</v>
      </c>
      <c r="I42" s="24" t="b">
        <v>1</v>
      </c>
    </row>
    <row r="43">
      <c r="A43" s="1">
        <v>39.0</v>
      </c>
      <c r="B43" s="31" t="b">
        <v>1</v>
      </c>
      <c r="C43" s="32" t="s">
        <v>66</v>
      </c>
      <c r="D43" s="34">
        <v>198.732</v>
      </c>
      <c r="E43" s="1">
        <v>1280.0</v>
      </c>
      <c r="F43" s="31">
        <v>839.0</v>
      </c>
      <c r="G43" s="1">
        <v>72.0</v>
      </c>
      <c r="H43" s="1">
        <v>72.0</v>
      </c>
      <c r="I43" s="24" t="b">
        <v>1</v>
      </c>
    </row>
    <row r="44">
      <c r="A44" s="1">
        <v>40.0</v>
      </c>
      <c r="B44" s="31" t="b">
        <v>1</v>
      </c>
      <c r="C44" s="32" t="s">
        <v>67</v>
      </c>
      <c r="D44" s="34">
        <v>284.452</v>
      </c>
      <c r="E44" s="1">
        <v>1280.0</v>
      </c>
      <c r="F44" s="31">
        <v>884.0</v>
      </c>
      <c r="G44" s="1">
        <v>72.0</v>
      </c>
      <c r="H44" s="1">
        <v>72.0</v>
      </c>
      <c r="I44" s="24" t="b">
        <v>1</v>
      </c>
    </row>
    <row r="45">
      <c r="A45" s="1">
        <v>41.0</v>
      </c>
      <c r="B45" s="31" t="b">
        <v>1</v>
      </c>
      <c r="C45" s="32" t="s">
        <v>68</v>
      </c>
      <c r="D45" s="34">
        <v>318.02</v>
      </c>
      <c r="E45" s="1">
        <v>1280.0</v>
      </c>
      <c r="F45" s="31">
        <v>854.0</v>
      </c>
      <c r="G45" s="1">
        <v>72.0</v>
      </c>
      <c r="H45" s="1">
        <v>72.0</v>
      </c>
      <c r="I45" s="24" t="b">
        <v>1</v>
      </c>
    </row>
    <row r="46">
      <c r="A46" s="1">
        <v>42.0</v>
      </c>
      <c r="B46" s="31" t="b">
        <v>1</v>
      </c>
      <c r="C46" s="32" t="s">
        <v>70</v>
      </c>
      <c r="D46" s="34">
        <v>152.5</v>
      </c>
      <c r="E46" s="1">
        <v>1280.0</v>
      </c>
      <c r="F46" s="31">
        <v>959.0</v>
      </c>
      <c r="G46" s="1">
        <v>72.0</v>
      </c>
      <c r="H46" s="1">
        <v>72.0</v>
      </c>
      <c r="I46" s="24" t="b">
        <v>1</v>
      </c>
    </row>
    <row r="47">
      <c r="A47" s="1">
        <v>43.0</v>
      </c>
      <c r="B47" s="31" t="b">
        <v>1</v>
      </c>
      <c r="C47" s="32" t="s">
        <v>72</v>
      </c>
      <c r="D47" s="34">
        <v>493.147</v>
      </c>
      <c r="E47" s="1">
        <v>1280.0</v>
      </c>
      <c r="F47" s="31">
        <v>853.0</v>
      </c>
      <c r="G47" s="37">
        <v>75.0</v>
      </c>
      <c r="H47" s="37">
        <v>75.0</v>
      </c>
      <c r="I47" s="24" t="b">
        <v>1</v>
      </c>
    </row>
    <row r="48">
      <c r="A48" s="1">
        <v>44.0</v>
      </c>
      <c r="B48" s="31" t="b">
        <v>1</v>
      </c>
      <c r="C48" s="32" t="s">
        <v>73</v>
      </c>
      <c r="D48" s="34">
        <v>529.556</v>
      </c>
      <c r="E48" s="1">
        <v>1280.0</v>
      </c>
      <c r="F48" s="31">
        <v>944.0</v>
      </c>
      <c r="G48" s="1">
        <v>72.0</v>
      </c>
      <c r="H48" s="1">
        <v>72.0</v>
      </c>
      <c r="I48" s="24" t="b">
        <v>1</v>
      </c>
    </row>
    <row r="49">
      <c r="A49" s="1">
        <v>45.0</v>
      </c>
      <c r="B49" s="31" t="b">
        <v>1</v>
      </c>
      <c r="C49" s="32" t="s">
        <v>75</v>
      </c>
      <c r="D49" s="34">
        <v>259.812</v>
      </c>
      <c r="E49" s="1">
        <v>1280.0</v>
      </c>
      <c r="F49" s="31">
        <v>925.0</v>
      </c>
      <c r="G49" s="1">
        <v>72.0</v>
      </c>
      <c r="H49" s="1">
        <v>72.0</v>
      </c>
      <c r="I49" s="24" t="b">
        <v>1</v>
      </c>
    </row>
    <row r="50">
      <c r="A50" s="1">
        <v>46.0</v>
      </c>
      <c r="B50" s="31" t="b">
        <v>1</v>
      </c>
      <c r="C50" s="32" t="s">
        <v>76</v>
      </c>
      <c r="D50" s="34">
        <v>233.942</v>
      </c>
      <c r="E50" s="1">
        <v>1280.0</v>
      </c>
      <c r="F50" s="31">
        <v>854.0</v>
      </c>
      <c r="G50" s="1">
        <v>72.0</v>
      </c>
      <c r="H50" s="1">
        <v>72.0</v>
      </c>
      <c r="I50" s="24" t="b">
        <v>1</v>
      </c>
    </row>
    <row r="51">
      <c r="A51" s="1">
        <v>47.0</v>
      </c>
      <c r="B51" s="31" t="b">
        <v>1</v>
      </c>
      <c r="C51" s="32" t="s">
        <v>77</v>
      </c>
      <c r="D51" s="34">
        <v>188.213</v>
      </c>
      <c r="E51" s="1">
        <v>1280.0</v>
      </c>
      <c r="F51" s="31">
        <v>960.0</v>
      </c>
      <c r="G51" s="1">
        <v>72.0</v>
      </c>
      <c r="H51" s="1">
        <v>72.0</v>
      </c>
      <c r="I51" s="24" t="b">
        <v>1</v>
      </c>
    </row>
    <row r="52">
      <c r="A52" s="1">
        <v>48.0</v>
      </c>
      <c r="B52" s="31" t="b">
        <v>1</v>
      </c>
      <c r="C52" s="32" t="s">
        <v>78</v>
      </c>
      <c r="D52" s="34">
        <v>249.333</v>
      </c>
      <c r="E52" s="1">
        <v>1280.0</v>
      </c>
      <c r="F52" s="31">
        <v>960.0</v>
      </c>
      <c r="G52" s="1">
        <v>72.0</v>
      </c>
      <c r="H52" s="1">
        <v>72.0</v>
      </c>
      <c r="I52" s="24" t="b">
        <v>1</v>
      </c>
    </row>
    <row r="53">
      <c r="A53" s="1">
        <v>49.0</v>
      </c>
      <c r="B53" s="31" t="b">
        <v>1</v>
      </c>
      <c r="C53" s="32" t="s">
        <v>79</v>
      </c>
      <c r="D53" s="34">
        <v>530.476</v>
      </c>
      <c r="E53" s="1">
        <v>1280.0</v>
      </c>
      <c r="F53" s="31">
        <v>960.0</v>
      </c>
      <c r="G53" s="1">
        <v>72.0</v>
      </c>
      <c r="H53" s="1">
        <v>72.0</v>
      </c>
      <c r="I53" s="24" t="b">
        <v>1</v>
      </c>
    </row>
    <row r="54">
      <c r="A54" s="1">
        <v>50.0</v>
      </c>
      <c r="B54" s="31" t="b">
        <v>1</v>
      </c>
      <c r="C54" s="32" t="s">
        <v>80</v>
      </c>
      <c r="D54" s="34">
        <v>454.319</v>
      </c>
      <c r="E54" s="24">
        <v>1280.0</v>
      </c>
      <c r="F54" s="31">
        <v>914.0</v>
      </c>
      <c r="G54" s="1">
        <v>72.0</v>
      </c>
      <c r="H54" s="1">
        <v>72.0</v>
      </c>
      <c r="I54" s="24" t="b">
        <v>1</v>
      </c>
    </row>
    <row r="55">
      <c r="B55" s="22"/>
      <c r="C55" s="23"/>
      <c r="D55" s="49"/>
      <c r="E55" s="49"/>
      <c r="F55" s="22"/>
      <c r="H55" s="22"/>
    </row>
    <row r="58">
      <c r="C58" s="1" t="s">
        <v>206</v>
      </c>
      <c r="D58" s="1" t="s">
        <v>193</v>
      </c>
      <c r="F58" s="1" t="s">
        <v>195</v>
      </c>
      <c r="H58" s="1" t="s">
        <v>207</v>
      </c>
    </row>
    <row r="60">
      <c r="C60" s="1" t="s">
        <v>109</v>
      </c>
      <c r="D60" s="1" t="s">
        <v>208</v>
      </c>
      <c r="F60" s="1" t="s">
        <v>209</v>
      </c>
      <c r="H60" s="1" t="s">
        <v>210</v>
      </c>
    </row>
    <row r="61">
      <c r="C61" s="1" t="s">
        <v>120</v>
      </c>
      <c r="D61" s="3">
        <f>QUARTILE(D5:D54,1)</f>
        <v>162.5985</v>
      </c>
      <c r="F61" s="3">
        <f>QUARTILE(F5:F54,1)</f>
        <v>853</v>
      </c>
      <c r="H61" s="3">
        <f>QUARTILE(H5:H54,1)</f>
        <v>72</v>
      </c>
    </row>
    <row r="62">
      <c r="C62" s="1" t="s">
        <v>127</v>
      </c>
      <c r="D62" s="3">
        <f>QUARTILE(D5:D54,3)</f>
        <v>331.136</v>
      </c>
      <c r="F62" s="3">
        <f>QUARTILE(F5:F54,3)</f>
        <v>960</v>
      </c>
      <c r="H62" s="3">
        <f>QUARTILE(H5:H54,3)</f>
        <v>72</v>
      </c>
    </row>
    <row r="63">
      <c r="C63" s="1" t="s">
        <v>143</v>
      </c>
      <c r="D63" s="3">
        <f>D62-D61</f>
        <v>168.5375</v>
      </c>
      <c r="F63" s="3">
        <f>F62-F61</f>
        <v>107</v>
      </c>
      <c r="H63" s="3">
        <f>H62-H61</f>
        <v>0</v>
      </c>
    </row>
    <row r="64">
      <c r="C64" s="1" t="s">
        <v>146</v>
      </c>
      <c r="D64" s="3">
        <f>1.5*D63</f>
        <v>252.80625</v>
      </c>
      <c r="F64" s="3">
        <f>1.5*F63</f>
        <v>160.5</v>
      </c>
      <c r="H64" s="3">
        <f>1.5*H63</f>
        <v>0</v>
      </c>
    </row>
    <row r="65">
      <c r="C65" s="1" t="s">
        <v>212</v>
      </c>
      <c r="D65" s="3">
        <f>D62+D64</f>
        <v>583.94225</v>
      </c>
      <c r="F65" s="3">
        <f>F62+F64</f>
        <v>1120.5</v>
      </c>
      <c r="H65" s="3">
        <f>H62+H64</f>
        <v>72</v>
      </c>
    </row>
    <row r="66">
      <c r="C66" s="1" t="s">
        <v>214</v>
      </c>
      <c r="D66" s="3">
        <f>D61-D64</f>
        <v>-90.20775</v>
      </c>
      <c r="F66" s="3">
        <f>F61-F64</f>
        <v>692.5</v>
      </c>
      <c r="H66" s="3">
        <f>H61-H64</f>
        <v>72</v>
      </c>
    </row>
    <row r="67">
      <c r="C67" s="1" t="s">
        <v>215</v>
      </c>
      <c r="D67" s="1" t="s">
        <v>216</v>
      </c>
      <c r="F67" s="1" t="s">
        <v>216</v>
      </c>
      <c r="H67" s="1" t="s">
        <v>217</v>
      </c>
    </row>
    <row r="68">
      <c r="C68" s="1" t="s">
        <v>218</v>
      </c>
      <c r="D68" s="1" t="s">
        <v>219</v>
      </c>
      <c r="F68" s="1" t="s">
        <v>216</v>
      </c>
      <c r="H68" s="1" t="s">
        <v>217</v>
      </c>
    </row>
    <row r="69">
      <c r="C69" s="1" t="s">
        <v>220</v>
      </c>
      <c r="D69" s="1" t="s">
        <v>217</v>
      </c>
      <c r="F69" s="1" t="s">
        <v>217</v>
      </c>
      <c r="H69" s="1" t="s">
        <v>221</v>
      </c>
    </row>
  </sheetData>
  <mergeCells count="1">
    <mergeCell ref="E3:F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4.13"/>
    <col customWidth="1" min="2" max="2" width="5.5"/>
    <col customWidth="1" min="3" max="3" width="29.13"/>
  </cols>
  <sheetData>
    <row r="1">
      <c r="B1" s="19"/>
      <c r="C1" s="1" t="s">
        <v>182</v>
      </c>
      <c r="D1" s="38">
        <v>4302.657</v>
      </c>
      <c r="E1" s="39"/>
      <c r="F1" s="39">
        <v>1120.5</v>
      </c>
      <c r="G1" s="39"/>
      <c r="H1" s="38">
        <v>28.34</v>
      </c>
      <c r="J1" s="1" t="s">
        <v>183</v>
      </c>
    </row>
    <row r="2">
      <c r="B2" s="20"/>
      <c r="C2" s="1" t="s">
        <v>185</v>
      </c>
      <c r="D2" s="38">
        <v>2659.673</v>
      </c>
      <c r="E2" s="39"/>
      <c r="F2" s="39">
        <v>692.5</v>
      </c>
      <c r="G2" s="39"/>
      <c r="H2" s="38">
        <v>28.34</v>
      </c>
      <c r="J2" s="1" t="s">
        <v>186</v>
      </c>
      <c r="K2" s="21"/>
    </row>
    <row r="3">
      <c r="B3" s="22"/>
      <c r="C3" s="23"/>
      <c r="D3" s="24" t="s">
        <v>187</v>
      </c>
      <c r="E3" s="24" t="s">
        <v>188</v>
      </c>
      <c r="F3" s="25"/>
      <c r="G3" s="26" t="s">
        <v>189</v>
      </c>
      <c r="H3" s="26"/>
      <c r="I3" s="40"/>
    </row>
    <row r="4">
      <c r="A4" s="1" t="s">
        <v>190</v>
      </c>
      <c r="B4" s="27" t="s">
        <v>191</v>
      </c>
      <c r="C4" s="28" t="s">
        <v>192</v>
      </c>
      <c r="D4" s="28" t="s">
        <v>193</v>
      </c>
      <c r="E4" s="29" t="s">
        <v>194</v>
      </c>
      <c r="F4" s="27" t="s">
        <v>195</v>
      </c>
      <c r="G4" s="29" t="s">
        <v>196</v>
      </c>
      <c r="H4" s="27" t="s">
        <v>197</v>
      </c>
      <c r="I4" s="31" t="s">
        <v>199</v>
      </c>
      <c r="J4" s="1" t="s">
        <v>198</v>
      </c>
      <c r="R4" s="43"/>
      <c r="S4" s="44"/>
      <c r="T4" s="44"/>
      <c r="U4" s="44"/>
      <c r="V4" s="43"/>
    </row>
    <row r="5">
      <c r="A5" s="1">
        <v>1.0</v>
      </c>
      <c r="B5" s="31" t="b">
        <v>1</v>
      </c>
      <c r="C5" s="32" t="s">
        <v>15</v>
      </c>
      <c r="D5" s="45">
        <v>3686.538</v>
      </c>
      <c r="E5" s="1">
        <v>1280.0</v>
      </c>
      <c r="F5" s="31">
        <v>960.0</v>
      </c>
      <c r="G5" s="1">
        <v>28.34</v>
      </c>
      <c r="H5" s="1">
        <v>28.34</v>
      </c>
      <c r="I5" s="46" t="s">
        <v>200</v>
      </c>
      <c r="J5" s="35" t="b">
        <v>1</v>
      </c>
      <c r="R5" s="43"/>
      <c r="S5" s="44"/>
      <c r="T5" s="44"/>
      <c r="U5" s="44"/>
      <c r="V5" s="43"/>
    </row>
    <row r="6">
      <c r="A6" s="1">
        <v>2.0</v>
      </c>
      <c r="B6" s="31" t="b">
        <v>1</v>
      </c>
      <c r="C6" s="32" t="s">
        <v>16</v>
      </c>
      <c r="D6" s="45">
        <v>3686.538</v>
      </c>
      <c r="E6" s="1">
        <v>1280.0</v>
      </c>
      <c r="F6" s="31">
        <v>960.0</v>
      </c>
      <c r="G6" s="37">
        <v>70.86</v>
      </c>
      <c r="H6" s="37">
        <v>70.86</v>
      </c>
      <c r="I6" s="32" t="s">
        <v>201</v>
      </c>
      <c r="J6" s="24" t="b">
        <v>1</v>
      </c>
      <c r="R6" s="43"/>
      <c r="S6" s="44"/>
      <c r="T6" s="44"/>
      <c r="U6" s="44"/>
      <c r="V6" s="43"/>
    </row>
    <row r="7">
      <c r="A7" s="1">
        <v>3.0</v>
      </c>
      <c r="B7" s="31" t="b">
        <v>1</v>
      </c>
      <c r="C7" s="32" t="s">
        <v>17</v>
      </c>
      <c r="D7" s="45">
        <v>3275.658</v>
      </c>
      <c r="E7" s="1">
        <v>1280.0</v>
      </c>
      <c r="F7" s="31">
        <v>853.0</v>
      </c>
      <c r="G7" s="1">
        <v>28.34</v>
      </c>
      <c r="H7" s="1">
        <v>28.34</v>
      </c>
      <c r="I7" s="32" t="s">
        <v>200</v>
      </c>
      <c r="J7" s="24" t="b">
        <v>1</v>
      </c>
      <c r="R7" s="43"/>
      <c r="S7" s="44"/>
      <c r="T7" s="44"/>
      <c r="U7" s="44"/>
      <c r="V7" s="43"/>
    </row>
    <row r="8">
      <c r="A8" s="1">
        <v>4.0</v>
      </c>
      <c r="B8" s="31" t="b">
        <v>1</v>
      </c>
      <c r="C8" s="32" t="s">
        <v>18</v>
      </c>
      <c r="D8" s="45">
        <v>3275.658</v>
      </c>
      <c r="E8" s="1">
        <v>1280.0</v>
      </c>
      <c r="F8" s="31">
        <v>853.0</v>
      </c>
      <c r="G8" s="37">
        <v>118.11</v>
      </c>
      <c r="H8" s="37">
        <v>118.11</v>
      </c>
      <c r="I8" s="32" t="s">
        <v>202</v>
      </c>
      <c r="J8" s="24" t="b">
        <v>1</v>
      </c>
      <c r="R8" s="43"/>
      <c r="S8" s="44"/>
      <c r="T8" s="44"/>
      <c r="U8" s="44"/>
      <c r="W8" s="43"/>
    </row>
    <row r="9">
      <c r="A9" s="1">
        <v>5.0</v>
      </c>
      <c r="B9" s="31" t="b">
        <v>1</v>
      </c>
      <c r="C9" s="32" t="s">
        <v>19</v>
      </c>
      <c r="D9" s="45">
        <v>3275.658</v>
      </c>
      <c r="E9" s="1">
        <v>1280.0</v>
      </c>
      <c r="F9" s="31">
        <v>853.0</v>
      </c>
      <c r="G9" s="37">
        <v>137.79</v>
      </c>
      <c r="H9" s="37">
        <v>137.79</v>
      </c>
      <c r="I9" s="32" t="s">
        <v>203</v>
      </c>
      <c r="J9" s="24" t="b">
        <v>1</v>
      </c>
      <c r="R9" s="43"/>
      <c r="S9" s="44"/>
      <c r="T9" s="44"/>
      <c r="U9" s="44"/>
      <c r="W9" s="43"/>
    </row>
    <row r="10">
      <c r="A10" s="1">
        <v>6.0</v>
      </c>
      <c r="B10" s="31" t="b">
        <v>1</v>
      </c>
      <c r="C10" s="32" t="s">
        <v>20</v>
      </c>
      <c r="D10" s="45">
        <v>4055.178</v>
      </c>
      <c r="E10" s="1">
        <v>1280.0</v>
      </c>
      <c r="F10" s="31">
        <v>1056.0</v>
      </c>
      <c r="G10" s="37">
        <v>37.79</v>
      </c>
      <c r="H10" s="37">
        <v>37.79</v>
      </c>
      <c r="I10" s="32" t="s">
        <v>204</v>
      </c>
      <c r="J10" s="24" t="b">
        <v>1</v>
      </c>
      <c r="R10" s="43"/>
      <c r="S10" s="44"/>
      <c r="T10" s="44"/>
      <c r="U10" s="44"/>
      <c r="W10" s="43"/>
    </row>
    <row r="11">
      <c r="A11" s="1">
        <v>7.0</v>
      </c>
      <c r="B11" s="31" t="b">
        <v>1</v>
      </c>
      <c r="C11" s="32" t="s">
        <v>21</v>
      </c>
      <c r="D11" s="45">
        <v>3271.818</v>
      </c>
      <c r="E11" s="1">
        <v>1280.0</v>
      </c>
      <c r="F11" s="31">
        <v>852.0</v>
      </c>
      <c r="G11" s="1">
        <v>28.34</v>
      </c>
      <c r="H11" s="1">
        <v>28.34</v>
      </c>
      <c r="I11" s="32" t="s">
        <v>200</v>
      </c>
      <c r="J11" s="24" t="b">
        <v>1</v>
      </c>
      <c r="R11" s="43"/>
      <c r="S11" s="44"/>
      <c r="T11" s="44"/>
      <c r="U11" s="44"/>
      <c r="W11" s="43"/>
    </row>
    <row r="12">
      <c r="A12" s="1">
        <v>8.0</v>
      </c>
      <c r="B12" s="31" t="b">
        <v>1</v>
      </c>
      <c r="C12" s="32" t="s">
        <v>22</v>
      </c>
      <c r="D12" s="45">
        <v>3280.058</v>
      </c>
      <c r="E12" s="1">
        <v>1280.0</v>
      </c>
      <c r="F12" s="31">
        <v>854.0</v>
      </c>
      <c r="G12" s="1">
        <v>28.34</v>
      </c>
      <c r="H12" s="1">
        <v>28.34</v>
      </c>
      <c r="I12" s="32" t="s">
        <v>200</v>
      </c>
      <c r="J12" s="24" t="b">
        <v>1</v>
      </c>
      <c r="R12" s="43"/>
      <c r="S12" s="44"/>
      <c r="T12" s="44"/>
      <c r="U12" s="44"/>
      <c r="W12" s="43"/>
    </row>
    <row r="13">
      <c r="A13" s="1">
        <v>9.0</v>
      </c>
      <c r="B13" s="31" t="b">
        <v>1</v>
      </c>
      <c r="C13" s="32" t="s">
        <v>23</v>
      </c>
      <c r="D13" s="45">
        <v>3267.978</v>
      </c>
      <c r="E13" s="1">
        <v>1280.0</v>
      </c>
      <c r="F13" s="31">
        <v>851.0</v>
      </c>
      <c r="G13" s="1">
        <v>28.34</v>
      </c>
      <c r="H13" s="1">
        <v>28.34</v>
      </c>
      <c r="I13" s="32" t="s">
        <v>200</v>
      </c>
      <c r="J13" s="24" t="b">
        <v>1</v>
      </c>
      <c r="R13" s="43"/>
      <c r="S13" s="44"/>
      <c r="T13" s="44"/>
      <c r="U13" s="44"/>
      <c r="W13" s="43"/>
    </row>
    <row r="14">
      <c r="A14" s="1">
        <v>10.0</v>
      </c>
      <c r="B14" s="31" t="b">
        <v>1</v>
      </c>
      <c r="C14" s="32" t="s">
        <v>24</v>
      </c>
      <c r="D14" s="45">
        <v>3275.658</v>
      </c>
      <c r="E14" s="1">
        <v>1280.0</v>
      </c>
      <c r="F14" s="31">
        <v>853.0</v>
      </c>
      <c r="G14" s="1">
        <v>28.34</v>
      </c>
      <c r="H14" s="1">
        <v>28.34</v>
      </c>
      <c r="I14" s="32" t="s">
        <v>200</v>
      </c>
      <c r="J14" s="24" t="b">
        <v>1</v>
      </c>
      <c r="L14" s="41"/>
      <c r="M14" s="41"/>
      <c r="N14" s="41"/>
      <c r="R14" s="43"/>
      <c r="S14" s="44"/>
      <c r="T14" s="44"/>
      <c r="U14" s="44"/>
      <c r="V14" s="43"/>
    </row>
    <row r="15">
      <c r="A15" s="1">
        <v>11.0</v>
      </c>
      <c r="B15" s="31" t="b">
        <v>1</v>
      </c>
      <c r="C15" s="32" t="s">
        <v>25</v>
      </c>
      <c r="D15" s="45">
        <v>3275.658</v>
      </c>
      <c r="E15" s="1">
        <v>1280.0</v>
      </c>
      <c r="F15" s="31">
        <v>853.0</v>
      </c>
      <c r="G15" s="1">
        <v>28.34</v>
      </c>
      <c r="H15" s="1">
        <v>28.34</v>
      </c>
      <c r="I15" s="32" t="s">
        <v>200</v>
      </c>
      <c r="J15" s="24" t="b">
        <v>1</v>
      </c>
      <c r="N15" s="41"/>
      <c r="R15" s="43"/>
      <c r="S15" s="44"/>
      <c r="T15" s="44"/>
      <c r="U15" s="44"/>
      <c r="V15" s="43"/>
    </row>
    <row r="16">
      <c r="A16" s="1">
        <v>12.0</v>
      </c>
      <c r="B16" s="31" t="b">
        <v>1</v>
      </c>
      <c r="C16" s="32" t="s">
        <v>26</v>
      </c>
      <c r="D16" s="45">
        <v>3072.138</v>
      </c>
      <c r="E16" s="1">
        <v>1280.0</v>
      </c>
      <c r="F16" s="31">
        <v>800.0</v>
      </c>
      <c r="G16" s="1">
        <v>28.34</v>
      </c>
      <c r="H16" s="1">
        <v>28.34</v>
      </c>
      <c r="I16" s="32" t="s">
        <v>200</v>
      </c>
      <c r="J16" s="24" t="b">
        <v>1</v>
      </c>
      <c r="M16" s="41"/>
      <c r="N16" s="41"/>
      <c r="O16" s="42"/>
      <c r="R16" s="47"/>
      <c r="S16" s="44"/>
      <c r="T16" s="44"/>
      <c r="U16" s="44"/>
      <c r="V16" s="43"/>
    </row>
    <row r="17">
      <c r="A17" s="1">
        <v>13.0</v>
      </c>
      <c r="B17" s="31" t="b">
        <v>1</v>
      </c>
      <c r="C17" s="32" t="s">
        <v>27</v>
      </c>
      <c r="D17" s="45">
        <v>3689.678</v>
      </c>
      <c r="E17" s="1">
        <v>1280.0</v>
      </c>
      <c r="F17" s="31">
        <v>960.0</v>
      </c>
      <c r="G17" s="1">
        <v>28.34</v>
      </c>
      <c r="H17" s="1">
        <v>28.34</v>
      </c>
      <c r="I17" s="32" t="s">
        <v>200</v>
      </c>
      <c r="J17" s="24" t="b">
        <v>1</v>
      </c>
      <c r="N17" s="41"/>
      <c r="S17" s="44"/>
      <c r="T17" s="44"/>
      <c r="U17" s="44"/>
      <c r="V17" s="43"/>
    </row>
    <row r="18">
      <c r="A18" s="1">
        <v>14.0</v>
      </c>
      <c r="B18" s="31" t="b">
        <v>1</v>
      </c>
      <c r="C18" s="32" t="s">
        <v>28</v>
      </c>
      <c r="D18" s="45">
        <v>3590.538</v>
      </c>
      <c r="E18" s="1">
        <v>1280.0</v>
      </c>
      <c r="F18" s="31">
        <v>935.0</v>
      </c>
      <c r="G18" s="1">
        <v>28.34</v>
      </c>
      <c r="H18" s="1">
        <v>28.34</v>
      </c>
      <c r="I18" s="32" t="s">
        <v>200</v>
      </c>
      <c r="J18" s="24" t="b">
        <v>1</v>
      </c>
      <c r="M18" s="41"/>
      <c r="N18" s="41"/>
      <c r="S18" s="44"/>
      <c r="T18" s="44"/>
      <c r="U18" s="44"/>
      <c r="W18" s="43"/>
    </row>
    <row r="19">
      <c r="A19" s="1">
        <v>15.0</v>
      </c>
      <c r="B19" s="31" t="b">
        <v>1</v>
      </c>
      <c r="C19" s="32" t="s">
        <v>29</v>
      </c>
      <c r="D19" s="45">
        <v>3291.018</v>
      </c>
      <c r="E19" s="1">
        <v>1280.0</v>
      </c>
      <c r="F19" s="31">
        <v>857.0</v>
      </c>
      <c r="G19" s="1">
        <v>28.34</v>
      </c>
      <c r="H19" s="1">
        <v>28.34</v>
      </c>
      <c r="I19" s="32" t="s">
        <v>200</v>
      </c>
      <c r="J19" s="24" t="b">
        <v>1</v>
      </c>
      <c r="N19" s="41"/>
      <c r="S19" s="44"/>
      <c r="T19" s="44"/>
      <c r="U19" s="44"/>
    </row>
    <row r="20">
      <c r="A20" s="1">
        <v>16.0</v>
      </c>
      <c r="B20" s="31" t="b">
        <v>1</v>
      </c>
      <c r="C20" s="32" t="s">
        <v>31</v>
      </c>
      <c r="D20" s="45">
        <v>3686.538</v>
      </c>
      <c r="E20" s="1">
        <v>1280.0</v>
      </c>
      <c r="F20" s="31">
        <v>960.0</v>
      </c>
      <c r="G20" s="1">
        <v>28.34</v>
      </c>
      <c r="H20" s="1">
        <v>28.34</v>
      </c>
      <c r="I20" s="32" t="s">
        <v>200</v>
      </c>
      <c r="J20" s="24" t="b">
        <v>1</v>
      </c>
      <c r="L20" s="41"/>
      <c r="M20" s="41"/>
      <c r="N20" s="41"/>
      <c r="S20" s="48"/>
      <c r="T20" s="44"/>
      <c r="U20" s="44"/>
    </row>
    <row r="21">
      <c r="A21" s="1">
        <v>17.0</v>
      </c>
      <c r="B21" s="31" t="b">
        <v>1</v>
      </c>
      <c r="C21" s="32" t="s">
        <v>38</v>
      </c>
      <c r="D21" s="45">
        <v>3686.538</v>
      </c>
      <c r="E21" s="1">
        <v>1280.0</v>
      </c>
      <c r="F21" s="31">
        <v>960.0</v>
      </c>
      <c r="G21" s="1">
        <v>28.34</v>
      </c>
      <c r="H21" s="1">
        <v>28.34</v>
      </c>
      <c r="I21" s="32" t="s">
        <v>200</v>
      </c>
      <c r="J21" s="24" t="b">
        <v>1</v>
      </c>
      <c r="N21" s="41"/>
      <c r="S21" s="44"/>
      <c r="T21" s="44"/>
      <c r="U21" s="44"/>
    </row>
    <row r="22">
      <c r="A22" s="1">
        <v>18.0</v>
      </c>
      <c r="B22" s="31" t="b">
        <v>1</v>
      </c>
      <c r="C22" s="32" t="s">
        <v>39</v>
      </c>
      <c r="D22" s="45">
        <v>3686.538</v>
      </c>
      <c r="E22" s="1">
        <v>1280.0</v>
      </c>
      <c r="F22" s="31">
        <v>960.0</v>
      </c>
      <c r="G22" s="1">
        <v>28.34</v>
      </c>
      <c r="H22" s="1">
        <v>28.34</v>
      </c>
      <c r="I22" s="32" t="s">
        <v>200</v>
      </c>
      <c r="J22" s="24" t="b">
        <v>1</v>
      </c>
      <c r="M22" s="41"/>
      <c r="N22" s="41"/>
      <c r="S22" s="44"/>
      <c r="T22" s="44"/>
      <c r="U22" s="44"/>
    </row>
    <row r="23">
      <c r="A23" s="1">
        <v>19.0</v>
      </c>
      <c r="B23" s="31" t="b">
        <v>1</v>
      </c>
      <c r="C23" s="32" t="s">
        <v>42</v>
      </c>
      <c r="D23" s="45">
        <v>3686.538</v>
      </c>
      <c r="E23" s="1">
        <v>1280.0</v>
      </c>
      <c r="F23" s="31">
        <v>960.0</v>
      </c>
      <c r="G23" s="37">
        <v>59.05</v>
      </c>
      <c r="H23" s="37">
        <v>59.05</v>
      </c>
      <c r="I23" s="32" t="s">
        <v>205</v>
      </c>
      <c r="J23" s="24" t="b">
        <v>1</v>
      </c>
      <c r="N23" s="41"/>
      <c r="S23" s="44"/>
      <c r="T23" s="44"/>
      <c r="U23" s="44"/>
    </row>
    <row r="24">
      <c r="A24" s="1">
        <v>20.0</v>
      </c>
      <c r="B24" s="31" t="b">
        <v>1</v>
      </c>
      <c r="C24" s="32" t="s">
        <v>43</v>
      </c>
      <c r="D24" s="45">
        <v>3279.498</v>
      </c>
      <c r="E24" s="1">
        <v>1280.0</v>
      </c>
      <c r="F24" s="31">
        <v>854.0</v>
      </c>
      <c r="G24" s="1">
        <v>28.34</v>
      </c>
      <c r="H24" s="1">
        <v>28.34</v>
      </c>
      <c r="I24" s="32" t="s">
        <v>200</v>
      </c>
      <c r="J24" s="24" t="b">
        <v>1</v>
      </c>
      <c r="M24" s="41"/>
      <c r="N24" s="41"/>
      <c r="S24" s="44"/>
      <c r="T24" s="44"/>
      <c r="U24" s="44"/>
    </row>
    <row r="25">
      <c r="A25" s="1">
        <v>21.0</v>
      </c>
      <c r="B25" s="31" t="b">
        <v>1</v>
      </c>
      <c r="C25" s="32" t="s">
        <v>45</v>
      </c>
      <c r="D25" s="45">
        <v>3279.498</v>
      </c>
      <c r="E25" s="1">
        <v>1280.0</v>
      </c>
      <c r="F25" s="31">
        <v>854.0</v>
      </c>
      <c r="G25" s="1">
        <v>28.34</v>
      </c>
      <c r="H25" s="1">
        <v>28.34</v>
      </c>
      <c r="I25" s="32" t="s">
        <v>200</v>
      </c>
      <c r="J25" s="24" t="b">
        <v>1</v>
      </c>
      <c r="N25" s="41"/>
      <c r="S25" s="44"/>
      <c r="T25" s="44"/>
      <c r="U25" s="44"/>
    </row>
    <row r="26">
      <c r="A26" s="1">
        <v>22.0</v>
      </c>
      <c r="B26" s="31" t="b">
        <v>1</v>
      </c>
      <c r="C26" s="32" t="s">
        <v>47</v>
      </c>
      <c r="D26" s="45">
        <v>3275.658</v>
      </c>
      <c r="E26" s="1">
        <v>1280.0</v>
      </c>
      <c r="F26" s="31">
        <v>853.0</v>
      </c>
      <c r="G26" s="1">
        <v>28.34</v>
      </c>
      <c r="H26" s="1">
        <v>28.34</v>
      </c>
      <c r="I26" s="32" t="s">
        <v>200</v>
      </c>
      <c r="J26" s="24" t="b">
        <v>1</v>
      </c>
      <c r="L26" s="41"/>
      <c r="M26" s="41"/>
      <c r="N26" s="41"/>
      <c r="S26" s="44"/>
      <c r="T26" s="44"/>
      <c r="U26" s="44"/>
    </row>
    <row r="27">
      <c r="A27" s="1">
        <v>23.0</v>
      </c>
      <c r="B27" s="31" t="b">
        <v>1</v>
      </c>
      <c r="C27" s="32" t="s">
        <v>48</v>
      </c>
      <c r="D27" s="45">
        <v>3275.658</v>
      </c>
      <c r="E27" s="1">
        <v>1280.0</v>
      </c>
      <c r="F27" s="31">
        <v>853.0</v>
      </c>
      <c r="G27" s="1">
        <v>28.34</v>
      </c>
      <c r="H27" s="1">
        <v>28.34</v>
      </c>
      <c r="I27" s="32" t="s">
        <v>200</v>
      </c>
      <c r="J27" s="24" t="b">
        <v>1</v>
      </c>
      <c r="N27" s="41"/>
      <c r="S27" s="44"/>
      <c r="T27" s="44"/>
      <c r="U27" s="44"/>
    </row>
    <row r="28">
      <c r="A28" s="1">
        <v>24.0</v>
      </c>
      <c r="B28" s="31" t="b">
        <v>1</v>
      </c>
      <c r="C28" s="32" t="s">
        <v>49</v>
      </c>
      <c r="D28" s="45">
        <v>3686.538</v>
      </c>
      <c r="E28" s="1">
        <v>1280.0</v>
      </c>
      <c r="F28" s="31">
        <v>853.0</v>
      </c>
      <c r="G28" s="1">
        <v>28.34</v>
      </c>
      <c r="H28" s="1">
        <v>28.34</v>
      </c>
      <c r="I28" s="32" t="s">
        <v>200</v>
      </c>
      <c r="J28" s="24" t="b">
        <v>1</v>
      </c>
      <c r="M28" s="41"/>
      <c r="N28" s="41"/>
      <c r="S28" s="44"/>
      <c r="T28" s="44"/>
      <c r="U28" s="44"/>
    </row>
    <row r="29">
      <c r="A29" s="1">
        <v>25.0</v>
      </c>
      <c r="B29" s="31" t="b">
        <v>1</v>
      </c>
      <c r="C29" s="32" t="s">
        <v>51</v>
      </c>
      <c r="D29" s="45">
        <v>3939.978</v>
      </c>
      <c r="E29" s="1">
        <v>1280.0</v>
      </c>
      <c r="F29" s="31">
        <v>1026.0</v>
      </c>
      <c r="G29" s="1">
        <v>28.34</v>
      </c>
      <c r="H29" s="1">
        <v>28.34</v>
      </c>
      <c r="I29" s="32" t="s">
        <v>200</v>
      </c>
      <c r="J29" s="24" t="b">
        <v>1</v>
      </c>
      <c r="N29" s="41"/>
      <c r="S29" s="44"/>
      <c r="T29" s="44"/>
      <c r="U29" s="44"/>
    </row>
    <row r="30">
      <c r="A30" s="1">
        <v>26.0</v>
      </c>
      <c r="B30" s="31" t="b">
        <v>1</v>
      </c>
      <c r="C30" s="32" t="s">
        <v>52</v>
      </c>
      <c r="D30" s="45">
        <v>3276.194</v>
      </c>
      <c r="E30" s="1">
        <v>1280.0</v>
      </c>
      <c r="F30" s="31">
        <v>853.0</v>
      </c>
      <c r="G30" s="1">
        <v>28.34</v>
      </c>
      <c r="H30" s="1">
        <v>28.34</v>
      </c>
      <c r="I30" s="32" t="s">
        <v>200</v>
      </c>
      <c r="J30" s="24" t="b">
        <v>1</v>
      </c>
      <c r="M30" s="41"/>
      <c r="N30" s="41"/>
      <c r="S30" s="44"/>
      <c r="T30" s="44"/>
      <c r="U30" s="44"/>
    </row>
    <row r="31">
      <c r="A31" s="1">
        <v>27.0</v>
      </c>
      <c r="B31" s="31" t="b">
        <v>1</v>
      </c>
      <c r="C31" s="32" t="s">
        <v>53</v>
      </c>
      <c r="D31" s="45">
        <v>3525.258</v>
      </c>
      <c r="E31" s="1">
        <v>1280.0</v>
      </c>
      <c r="F31" s="31">
        <v>918.0</v>
      </c>
      <c r="G31" s="1">
        <v>28.34</v>
      </c>
      <c r="H31" s="1">
        <v>28.34</v>
      </c>
      <c r="I31" s="32" t="s">
        <v>200</v>
      </c>
      <c r="J31" s="24" t="b">
        <v>1</v>
      </c>
      <c r="N31" s="41"/>
      <c r="S31" s="44"/>
      <c r="T31" s="44"/>
      <c r="U31" s="44"/>
    </row>
    <row r="32">
      <c r="A32" s="1">
        <v>28.0</v>
      </c>
      <c r="B32" s="31" t="b">
        <v>1</v>
      </c>
      <c r="C32" s="32" t="s">
        <v>54</v>
      </c>
      <c r="D32" s="45">
        <v>3733.178</v>
      </c>
      <c r="E32" s="1">
        <v>1280.0</v>
      </c>
      <c r="F32" s="31">
        <v>972.0</v>
      </c>
      <c r="G32" s="37">
        <v>94.48</v>
      </c>
      <c r="H32" s="37">
        <v>94.48</v>
      </c>
      <c r="I32" s="32" t="s">
        <v>211</v>
      </c>
      <c r="J32" s="24" t="b">
        <v>1</v>
      </c>
      <c r="R32" s="50"/>
    </row>
    <row r="33">
      <c r="A33" s="1">
        <v>29.0</v>
      </c>
      <c r="B33" s="31" t="b">
        <v>1</v>
      </c>
      <c r="C33" s="32" t="s">
        <v>56</v>
      </c>
      <c r="D33" s="45">
        <v>4055.738</v>
      </c>
      <c r="E33" s="1">
        <v>1280.0</v>
      </c>
      <c r="F33" s="31">
        <v>1056.0</v>
      </c>
      <c r="G33" s="37">
        <v>118.11</v>
      </c>
      <c r="H33" s="37">
        <v>118.11</v>
      </c>
      <c r="I33" s="32" t="s">
        <v>202</v>
      </c>
      <c r="J33" s="24" t="b">
        <v>1</v>
      </c>
    </row>
    <row r="34">
      <c r="A34" s="1">
        <v>30.0</v>
      </c>
      <c r="B34" s="31" t="b">
        <v>1</v>
      </c>
      <c r="C34" s="32" t="s">
        <v>57</v>
      </c>
      <c r="D34" s="45">
        <v>2869.338</v>
      </c>
      <c r="E34" s="1">
        <v>1200.0</v>
      </c>
      <c r="F34" s="31">
        <v>797.0</v>
      </c>
      <c r="G34" s="37">
        <v>0.39</v>
      </c>
      <c r="H34" s="37">
        <v>0.39</v>
      </c>
      <c r="I34" s="32" t="s">
        <v>213</v>
      </c>
      <c r="J34" s="24" t="b">
        <v>1</v>
      </c>
    </row>
    <row r="35">
      <c r="A35" s="1">
        <v>31.0</v>
      </c>
      <c r="B35" s="31" t="b">
        <v>1</v>
      </c>
      <c r="C35" s="32" t="s">
        <v>58</v>
      </c>
      <c r="D35" s="45">
        <v>3686.538</v>
      </c>
      <c r="E35" s="1">
        <v>1280.0</v>
      </c>
      <c r="F35" s="31">
        <v>960.0</v>
      </c>
      <c r="G35" s="1">
        <v>28.34</v>
      </c>
      <c r="H35" s="1">
        <v>28.34</v>
      </c>
      <c r="I35" s="32" t="s">
        <v>200</v>
      </c>
      <c r="J35" s="24" t="b">
        <v>1</v>
      </c>
    </row>
    <row r="36">
      <c r="A36" s="1">
        <v>32.0</v>
      </c>
      <c r="B36" s="31" t="b">
        <v>1</v>
      </c>
      <c r="C36" s="32" t="s">
        <v>59</v>
      </c>
      <c r="D36" s="45">
        <v>3686.538</v>
      </c>
      <c r="E36" s="1">
        <v>1280.0</v>
      </c>
      <c r="F36" s="31">
        <v>960.0</v>
      </c>
      <c r="G36" s="37">
        <v>37.79</v>
      </c>
      <c r="H36" s="37">
        <v>37.79</v>
      </c>
      <c r="I36" s="32" t="s">
        <v>204</v>
      </c>
      <c r="J36" s="24" t="b">
        <v>1</v>
      </c>
    </row>
    <row r="37">
      <c r="A37" s="1">
        <v>33.0</v>
      </c>
      <c r="B37" s="31" t="b">
        <v>1</v>
      </c>
      <c r="C37" s="32" t="s">
        <v>60</v>
      </c>
      <c r="D37" s="45">
        <v>3360.698</v>
      </c>
      <c r="E37" s="1">
        <v>1280.0</v>
      </c>
      <c r="F37" s="31">
        <v>875.0</v>
      </c>
      <c r="G37" s="37">
        <v>94.48</v>
      </c>
      <c r="H37" s="37">
        <v>94.48</v>
      </c>
      <c r="I37" s="32" t="s">
        <v>211</v>
      </c>
      <c r="J37" s="24" t="b">
        <v>1</v>
      </c>
    </row>
    <row r="38">
      <c r="A38" s="1">
        <v>34.0</v>
      </c>
      <c r="B38" s="31" t="b">
        <v>1</v>
      </c>
      <c r="C38" s="32" t="s">
        <v>61</v>
      </c>
      <c r="D38" s="45">
        <v>3056.778</v>
      </c>
      <c r="E38" s="1">
        <v>1280.0</v>
      </c>
      <c r="F38" s="31">
        <v>796.0</v>
      </c>
      <c r="G38" s="1">
        <v>28.34</v>
      </c>
      <c r="H38" s="1">
        <v>28.34</v>
      </c>
      <c r="I38" s="32" t="s">
        <v>200</v>
      </c>
      <c r="J38" s="24" t="b">
        <v>1</v>
      </c>
    </row>
    <row r="39">
      <c r="A39" s="1">
        <v>35.0</v>
      </c>
      <c r="B39" s="31" t="b">
        <v>1</v>
      </c>
      <c r="C39" s="32" t="s">
        <v>62</v>
      </c>
      <c r="D39" s="45">
        <v>3317.898</v>
      </c>
      <c r="E39" s="1">
        <v>1280.0</v>
      </c>
      <c r="F39" s="31">
        <v>864.0</v>
      </c>
      <c r="G39" s="1">
        <v>28.34</v>
      </c>
      <c r="H39" s="1">
        <v>28.34</v>
      </c>
      <c r="I39" s="32" t="s">
        <v>200</v>
      </c>
      <c r="J39" s="24" t="b">
        <v>1</v>
      </c>
    </row>
    <row r="40">
      <c r="A40" s="1">
        <v>36.0</v>
      </c>
      <c r="B40" s="31" t="b">
        <v>1</v>
      </c>
      <c r="C40" s="32" t="s">
        <v>63</v>
      </c>
      <c r="D40" s="45">
        <v>3686.538</v>
      </c>
      <c r="E40" s="1">
        <v>1280.0</v>
      </c>
      <c r="F40" s="31">
        <v>960.0</v>
      </c>
      <c r="G40" s="1">
        <v>28.34</v>
      </c>
      <c r="H40" s="1">
        <v>28.34</v>
      </c>
      <c r="I40" s="32" t="s">
        <v>200</v>
      </c>
      <c r="J40" s="24" t="b">
        <v>1</v>
      </c>
    </row>
    <row r="41">
      <c r="A41" s="1">
        <v>37.0</v>
      </c>
      <c r="B41" s="31" t="b">
        <v>1</v>
      </c>
      <c r="C41" s="32" t="s">
        <v>64</v>
      </c>
      <c r="D41" s="45">
        <v>3690.938</v>
      </c>
      <c r="E41" s="1">
        <v>1280.0</v>
      </c>
      <c r="F41" s="31">
        <v>961.0</v>
      </c>
      <c r="G41" s="1">
        <v>28.34</v>
      </c>
      <c r="H41" s="1">
        <v>28.34</v>
      </c>
      <c r="I41" s="32" t="s">
        <v>200</v>
      </c>
      <c r="J41" s="24" t="b">
        <v>1</v>
      </c>
    </row>
    <row r="42">
      <c r="A42" s="1">
        <v>38.0</v>
      </c>
      <c r="B42" s="31" t="b">
        <v>1</v>
      </c>
      <c r="C42" s="32" t="s">
        <v>65</v>
      </c>
      <c r="D42" s="45">
        <v>3376.058</v>
      </c>
      <c r="E42" s="1">
        <v>1280.0</v>
      </c>
      <c r="F42" s="31">
        <v>879.0</v>
      </c>
      <c r="G42" s="37">
        <v>118.11</v>
      </c>
      <c r="H42" s="37">
        <v>118.11</v>
      </c>
      <c r="I42" s="32" t="s">
        <v>202</v>
      </c>
      <c r="J42" s="24" t="b">
        <v>1</v>
      </c>
    </row>
    <row r="43">
      <c r="A43" s="1">
        <v>39.0</v>
      </c>
      <c r="B43" s="31" t="b">
        <v>1</v>
      </c>
      <c r="C43" s="32" t="s">
        <v>66</v>
      </c>
      <c r="D43" s="45">
        <v>3221.898</v>
      </c>
      <c r="E43" s="1">
        <v>1280.0</v>
      </c>
      <c r="F43" s="31">
        <v>839.0</v>
      </c>
      <c r="G43" s="1">
        <v>28.34</v>
      </c>
      <c r="H43" s="1">
        <v>28.34</v>
      </c>
      <c r="I43" s="32" t="s">
        <v>200</v>
      </c>
      <c r="J43" s="24" t="b">
        <v>1</v>
      </c>
    </row>
    <row r="44">
      <c r="A44" s="1">
        <v>40.0</v>
      </c>
      <c r="B44" s="31" t="b">
        <v>1</v>
      </c>
      <c r="C44" s="32" t="s">
        <v>67</v>
      </c>
      <c r="D44" s="45">
        <v>3394.698</v>
      </c>
      <c r="E44" s="1">
        <v>1280.0</v>
      </c>
      <c r="F44" s="31">
        <v>884.0</v>
      </c>
      <c r="G44" s="1">
        <v>28.34</v>
      </c>
      <c r="H44" s="1">
        <v>28.34</v>
      </c>
      <c r="I44" s="32" t="s">
        <v>200</v>
      </c>
      <c r="J44" s="24" t="b">
        <v>1</v>
      </c>
    </row>
    <row r="45">
      <c r="A45" s="1">
        <v>41.0</v>
      </c>
      <c r="B45" s="31" t="b">
        <v>1</v>
      </c>
      <c r="C45" s="32" t="s">
        <v>68</v>
      </c>
      <c r="D45" s="45">
        <v>3279.498</v>
      </c>
      <c r="E45" s="1">
        <v>1280.0</v>
      </c>
      <c r="F45" s="31">
        <v>884.0</v>
      </c>
      <c r="G45" s="1">
        <v>28.34</v>
      </c>
      <c r="H45" s="1">
        <v>28.34</v>
      </c>
      <c r="I45" s="32" t="s">
        <v>200</v>
      </c>
      <c r="J45" s="24" t="b">
        <v>1</v>
      </c>
    </row>
    <row r="46">
      <c r="A46" s="1">
        <v>42.0</v>
      </c>
      <c r="B46" s="31" t="b">
        <v>1</v>
      </c>
      <c r="C46" s="32" t="s">
        <v>70</v>
      </c>
      <c r="D46" s="45">
        <v>3682.698</v>
      </c>
      <c r="E46" s="1">
        <v>1280.0</v>
      </c>
      <c r="F46" s="31">
        <v>854.0</v>
      </c>
      <c r="G46" s="1">
        <v>28.34</v>
      </c>
      <c r="H46" s="1">
        <v>28.34</v>
      </c>
      <c r="I46" s="32" t="s">
        <v>200</v>
      </c>
      <c r="J46" s="24" t="b">
        <v>1</v>
      </c>
    </row>
    <row r="47">
      <c r="A47" s="1">
        <v>43.0</v>
      </c>
      <c r="B47" s="31" t="b">
        <v>1</v>
      </c>
      <c r="C47" s="32" t="s">
        <v>72</v>
      </c>
      <c r="D47" s="45">
        <v>3278.798</v>
      </c>
      <c r="E47" s="1">
        <v>1280.0</v>
      </c>
      <c r="F47" s="31">
        <v>853.0</v>
      </c>
      <c r="G47" s="37">
        <v>29.52</v>
      </c>
      <c r="H47" s="37">
        <v>29.52</v>
      </c>
      <c r="I47" s="32" t="s">
        <v>222</v>
      </c>
      <c r="J47" s="24" t="b">
        <v>1</v>
      </c>
    </row>
    <row r="48">
      <c r="A48" s="1">
        <v>44.0</v>
      </c>
      <c r="B48" s="31" t="b">
        <v>1</v>
      </c>
      <c r="C48" s="32" t="s">
        <v>73</v>
      </c>
      <c r="D48" s="45">
        <v>3625.098</v>
      </c>
      <c r="E48" s="1">
        <v>1280.0</v>
      </c>
      <c r="F48" s="31">
        <v>944.0</v>
      </c>
      <c r="G48" s="1">
        <v>28.34</v>
      </c>
      <c r="H48" s="1">
        <v>28.34</v>
      </c>
      <c r="I48" s="32" t="s">
        <v>200</v>
      </c>
      <c r="J48" s="24" t="b">
        <v>1</v>
      </c>
    </row>
    <row r="49">
      <c r="A49" s="1">
        <v>45.0</v>
      </c>
      <c r="B49" s="31" t="b">
        <v>1</v>
      </c>
      <c r="C49" s="32" t="s">
        <v>75</v>
      </c>
      <c r="D49" s="45">
        <v>3552.698</v>
      </c>
      <c r="E49" s="1">
        <v>1280.0</v>
      </c>
      <c r="F49" s="31">
        <v>925.0</v>
      </c>
      <c r="G49" s="1">
        <v>28.34</v>
      </c>
      <c r="H49" s="1">
        <v>28.34</v>
      </c>
      <c r="I49" s="32" t="s">
        <v>200</v>
      </c>
      <c r="J49" s="24" t="b">
        <v>1</v>
      </c>
    </row>
    <row r="50">
      <c r="A50" s="1">
        <v>46.0</v>
      </c>
      <c r="B50" s="31" t="b">
        <v>1</v>
      </c>
      <c r="C50" s="32" t="s">
        <v>76</v>
      </c>
      <c r="D50" s="45">
        <v>3279.498</v>
      </c>
      <c r="E50" s="1">
        <v>1280.0</v>
      </c>
      <c r="F50" s="31">
        <v>854.0</v>
      </c>
      <c r="G50" s="1">
        <v>28.34</v>
      </c>
      <c r="H50" s="1">
        <v>28.34</v>
      </c>
      <c r="I50" s="32" t="s">
        <v>200</v>
      </c>
      <c r="J50" s="24" t="b">
        <v>1</v>
      </c>
    </row>
    <row r="51">
      <c r="A51" s="1">
        <v>47.0</v>
      </c>
      <c r="B51" s="31" t="b">
        <v>1</v>
      </c>
      <c r="C51" s="32" t="s">
        <v>77</v>
      </c>
      <c r="D51" s="45">
        <v>3686.538</v>
      </c>
      <c r="E51" s="1">
        <v>1280.0</v>
      </c>
      <c r="F51" s="31">
        <v>960.0</v>
      </c>
      <c r="G51" s="1">
        <v>28.34</v>
      </c>
      <c r="H51" s="1">
        <v>28.34</v>
      </c>
      <c r="I51" s="32" t="s">
        <v>200</v>
      </c>
      <c r="J51" s="24" t="b">
        <v>1</v>
      </c>
    </row>
    <row r="52">
      <c r="A52" s="1">
        <v>48.0</v>
      </c>
      <c r="B52" s="31" t="b">
        <v>1</v>
      </c>
      <c r="C52" s="32" t="s">
        <v>78</v>
      </c>
      <c r="D52" s="45">
        <v>3687.098</v>
      </c>
      <c r="E52" s="1">
        <v>1280.0</v>
      </c>
      <c r="F52" s="31">
        <v>960.0</v>
      </c>
      <c r="G52" s="1">
        <v>28.34</v>
      </c>
      <c r="H52" s="1">
        <v>28.34</v>
      </c>
      <c r="I52" s="32" t="s">
        <v>200</v>
      </c>
      <c r="J52" s="24" t="b">
        <v>1</v>
      </c>
    </row>
    <row r="53">
      <c r="A53" s="1">
        <v>49.0</v>
      </c>
      <c r="B53" s="31" t="b">
        <v>1</v>
      </c>
      <c r="C53" s="32" t="s">
        <v>79</v>
      </c>
      <c r="D53" s="45">
        <v>3686.538</v>
      </c>
      <c r="E53" s="1">
        <v>1280.0</v>
      </c>
      <c r="F53" s="31">
        <v>960.0</v>
      </c>
      <c r="G53" s="1">
        <v>28.34</v>
      </c>
      <c r="H53" s="1">
        <v>28.34</v>
      </c>
      <c r="I53" s="32" t="s">
        <v>200</v>
      </c>
      <c r="J53" s="24" t="b">
        <v>1</v>
      </c>
    </row>
    <row r="54">
      <c r="A54" s="1">
        <v>50.0</v>
      </c>
      <c r="B54" s="31" t="b">
        <v>1</v>
      </c>
      <c r="C54" s="32" t="s">
        <v>80</v>
      </c>
      <c r="D54" s="45">
        <v>3509.898</v>
      </c>
      <c r="E54" s="24">
        <v>1280.0</v>
      </c>
      <c r="F54" s="31">
        <v>914.0</v>
      </c>
      <c r="G54" s="1">
        <v>28.34</v>
      </c>
      <c r="H54" s="1">
        <v>28.34</v>
      </c>
      <c r="I54" s="32" t="s">
        <v>200</v>
      </c>
      <c r="J54" s="24" t="b">
        <v>1</v>
      </c>
    </row>
    <row r="55">
      <c r="B55" s="22"/>
      <c r="C55" s="23"/>
      <c r="D55" s="49"/>
      <c r="E55" s="49"/>
      <c r="F55" s="22"/>
      <c r="H55" s="22"/>
      <c r="I55" s="23"/>
    </row>
    <row r="58">
      <c r="C58" s="1" t="s">
        <v>206</v>
      </c>
      <c r="D58" s="1" t="s">
        <v>193</v>
      </c>
      <c r="F58" s="1" t="s">
        <v>195</v>
      </c>
      <c r="H58" s="1" t="s">
        <v>207</v>
      </c>
    </row>
    <row r="60">
      <c r="C60" s="1" t="s">
        <v>109</v>
      </c>
      <c r="D60" s="1" t="s">
        <v>208</v>
      </c>
      <c r="F60" s="1" t="s">
        <v>209</v>
      </c>
      <c r="H60" s="1" t="s">
        <v>210</v>
      </c>
    </row>
    <row r="61">
      <c r="C61" s="1" t="s">
        <v>120</v>
      </c>
      <c r="D61" s="3">
        <f>QUARTILE(D5:D54,1)</f>
        <v>3275.792</v>
      </c>
      <c r="F61" s="3">
        <f>QUARTILE(F5:F54,1)</f>
        <v>853</v>
      </c>
      <c r="H61" s="3">
        <f>QUARTILE(H5:H54,1)</f>
        <v>28.34</v>
      </c>
    </row>
    <row r="62">
      <c r="C62" s="1" t="s">
        <v>127</v>
      </c>
      <c r="D62" s="3">
        <f>QUARTILE(D5:D54,3)</f>
        <v>3686.538</v>
      </c>
      <c r="F62" s="3">
        <f>QUARTILE(F5:F54,3)</f>
        <v>960</v>
      </c>
      <c r="H62" s="3">
        <f>QUARTILE(H5:H54,3)</f>
        <v>28.34</v>
      </c>
    </row>
    <row r="63">
      <c r="C63" s="1" t="s">
        <v>143</v>
      </c>
      <c r="D63" s="3">
        <f>D62-D61</f>
        <v>410.746</v>
      </c>
      <c r="F63" s="3">
        <f>F62-F61</f>
        <v>107</v>
      </c>
      <c r="H63" s="3">
        <f>H62-H61</f>
        <v>0</v>
      </c>
    </row>
    <row r="64">
      <c r="C64" s="1" t="s">
        <v>146</v>
      </c>
      <c r="D64" s="3">
        <f>1.5*D63</f>
        <v>616.119</v>
      </c>
      <c r="F64" s="3">
        <f>1.5*F63</f>
        <v>160.5</v>
      </c>
      <c r="H64" s="3">
        <f>1.5*H63</f>
        <v>0</v>
      </c>
    </row>
    <row r="65">
      <c r="C65" s="1" t="s">
        <v>223</v>
      </c>
      <c r="D65" s="3">
        <f>D62+D64</f>
        <v>4302.657</v>
      </c>
      <c r="F65" s="3">
        <f>F62+F64</f>
        <v>1120.5</v>
      </c>
      <c r="H65" s="3">
        <f>H62+H64</f>
        <v>28.34</v>
      </c>
    </row>
    <row r="66">
      <c r="C66" s="1" t="s">
        <v>224</v>
      </c>
      <c r="D66" s="3">
        <f>D61-D64</f>
        <v>2659.673</v>
      </c>
      <c r="F66" s="3">
        <f>F61-F64</f>
        <v>692.5</v>
      </c>
      <c r="H66" s="3">
        <f>H61-H64</f>
        <v>28.34</v>
      </c>
    </row>
    <row r="67">
      <c r="C67" s="1" t="s">
        <v>225</v>
      </c>
      <c r="D67" s="1" t="s">
        <v>216</v>
      </c>
      <c r="F67" s="1" t="s">
        <v>216</v>
      </c>
      <c r="H67" s="1" t="s">
        <v>217</v>
      </c>
    </row>
    <row r="68">
      <c r="C68" s="1" t="s">
        <v>226</v>
      </c>
      <c r="D68" s="1" t="s">
        <v>216</v>
      </c>
      <c r="F68" s="1" t="s">
        <v>216</v>
      </c>
      <c r="H68" s="1" t="s">
        <v>217</v>
      </c>
    </row>
    <row r="69">
      <c r="C69" s="1" t="s">
        <v>220</v>
      </c>
      <c r="D69" s="1" t="s">
        <v>217</v>
      </c>
      <c r="F69" s="1" t="s">
        <v>217</v>
      </c>
      <c r="H69" s="1" t="s">
        <v>227</v>
      </c>
    </row>
  </sheetData>
  <mergeCells count="1">
    <mergeCell ref="E3:F3"/>
  </mergeCells>
  <drawing r:id="rId1"/>
</worksheet>
</file>